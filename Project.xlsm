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1.xml" ContentType="application/vnd.openxmlformats-officedocument.themeOverride+xml"/>
  <Override PartName="/xl/charts/chartEx2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theme/themeOverride2.xml" ContentType="application/vnd.openxmlformats-officedocument.themeOverride+xml"/>
  <Override PartName="/xl/charts/chart6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en_skoroszyt" hidePivotFieldList="1"/>
  <mc:AlternateContent xmlns:mc="http://schemas.openxmlformats.org/markup-compatibility/2006">
    <mc:Choice Requires="x15">
      <x15ac:absPath xmlns:x15ac="http://schemas.microsoft.com/office/spreadsheetml/2010/11/ac" url="C:\Users\maria\Desktop\Studia\3 sem\VBA\Project\"/>
    </mc:Choice>
  </mc:AlternateContent>
  <xr:revisionPtr revIDLastSave="0" documentId="13_ncr:1_{C4891E1D-12AF-47A7-906F-E4AB54838C27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Budżet domowy" sheetId="1" r:id="rId1"/>
    <sheet name="Wydatki" sheetId="2" r:id="rId2"/>
    <sheet name="Przychód" sheetId="3" r:id="rId3"/>
  </sheets>
  <functionGroups builtInGroupCount="19"/>
  <definedNames>
    <definedName name="_xlnm._FilterDatabase" localSheetId="1" hidden="1">Wydatki!#REF!</definedName>
    <definedName name="_xlchart.v1.0" hidden="1">'Budżet domowy'!$B$33:$D$42</definedName>
    <definedName name="_xlchart.v1.1" hidden="1">'Budżet domowy'!$E$33:$E$42</definedName>
    <definedName name="_xlchart.v1.2" hidden="1">'Budżet domowy'!$B$104:$D$109</definedName>
    <definedName name="_xlchart.v1.3" hidden="1">'Budżet domowy'!$E$33:$E$42</definedName>
    <definedName name="DataPrzychodów">Tabela2[Data]</definedName>
    <definedName name="DataWydatków">Tabela3[Data]</definedName>
    <definedName name="HistoriaPrzychodów">Tabela2[]</definedName>
    <definedName name="HistoriaWydatkow">Tabela3[]</definedName>
    <definedName name="KategoriaPrzychodów">Tabela2[Kategoria]</definedName>
    <definedName name="KategoriaWydatków">Tabela3[Kategoria]</definedName>
    <definedName name="KategoriiPrzychodów">'Budżet domowy'!$Q$84:$S$89</definedName>
    <definedName name="KategoriiWydatków">'Budżet domowy'!$Q$16:$S$25</definedName>
    <definedName name="KwotaPrzychodów">Tabela2[Kwota]</definedName>
    <definedName name="KwotaWydatków">Tabela3[Kwota]</definedName>
    <definedName name="Miesiące">Tabela1[Miesiąc]</definedName>
    <definedName name="Różnica">'Budżet domowy'!$T$93</definedName>
    <definedName name="WybranyMiesiac">'Budżet domowy'!$Y$14</definedName>
    <definedName name="WybranyRok">'Budżet domowy'!$B$4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14" i="1" l="1"/>
  <c r="Q115" i="1"/>
  <c r="B112" i="1"/>
  <c r="B103" i="1"/>
  <c r="E73" i="1"/>
  <c r="B73" i="1"/>
  <c r="H76" i="1"/>
  <c r="H7" i="1"/>
  <c r="T27" i="1"/>
  <c r="Q83" i="1"/>
  <c r="Q15" i="1"/>
  <c r="Y14" i="1"/>
  <c r="T87" i="1" s="1"/>
  <c r="B59" i="1"/>
  <c r="B46" i="1"/>
  <c r="B32" i="1"/>
  <c r="Q27" i="1"/>
  <c r="T86" i="1" l="1"/>
  <c r="T84" i="1"/>
  <c r="Y16" i="1"/>
  <c r="Y83" i="1"/>
  <c r="Y82" i="1"/>
  <c r="Y81" i="1"/>
  <c r="Y80" i="1"/>
  <c r="Y79" i="1"/>
  <c r="Y78" i="1"/>
  <c r="T16" i="1"/>
  <c r="T85" i="1"/>
  <c r="T88" i="1"/>
  <c r="T89" i="1"/>
  <c r="T17" i="1"/>
  <c r="T18" i="1"/>
  <c r="T19" i="1"/>
  <c r="T20" i="1"/>
  <c r="T21" i="1"/>
  <c r="T22" i="1"/>
  <c r="T23" i="1"/>
  <c r="T24" i="1"/>
  <c r="T25" i="1"/>
  <c r="Y23" i="1"/>
  <c r="Y18" i="1"/>
  <c r="Y22" i="1"/>
  <c r="Y25" i="1"/>
  <c r="Y17" i="1"/>
  <c r="Y19" i="1"/>
  <c r="Y24" i="1"/>
  <c r="Y20" i="1"/>
  <c r="Y21" i="1"/>
  <c r="T29" i="1" l="1"/>
  <c r="T91" i="1"/>
  <c r="T90" i="1"/>
  <c r="T26" i="1"/>
  <c r="T28" i="1" s="1"/>
  <c r="L13" i="1" l="1"/>
  <c r="L81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25446A1-D6D0-42AC-82B0-BFFD74DB6B6D}" keepAlive="1" name="Zapytanie — angl - — kopia" description="Połączenie z zapytaniem „angl - — kopia” w skoroszycie." type="5" refreshedVersion="0" background="1">
    <dbPr connection="Provider=Microsoft.Mashup.OleDb.1;Data Source=$Workbook$;Location=&quot;angl - — kopia&quot;;Extended Properties=&quot;&quot;" command="SELECT * FROM [angl - — kopia]"/>
  </connection>
</connections>
</file>

<file path=xl/sharedStrings.xml><?xml version="1.0" encoding="utf-8"?>
<sst xmlns="http://schemas.openxmlformats.org/spreadsheetml/2006/main" count="650" uniqueCount="74">
  <si>
    <t>Transport</t>
  </si>
  <si>
    <t>Zdrowie i Uroda</t>
  </si>
  <si>
    <t>Edukacja</t>
  </si>
  <si>
    <t>Rozrywka</t>
  </si>
  <si>
    <t>Zakupy</t>
  </si>
  <si>
    <t>Jedzenie i napoje</t>
  </si>
  <si>
    <t>Dom i mieszkanie</t>
  </si>
  <si>
    <t>Samochód</t>
  </si>
  <si>
    <t>Komunikacja,elektronika</t>
  </si>
  <si>
    <t>Wycieczki,hotele</t>
  </si>
  <si>
    <t>Historia wydatków</t>
  </si>
  <si>
    <t>Rok</t>
  </si>
  <si>
    <t>Miesiąc</t>
  </si>
  <si>
    <t>Kategorii</t>
  </si>
  <si>
    <t>Styczeń</t>
  </si>
  <si>
    <t>Luty</t>
  </si>
  <si>
    <t>Marzec</t>
  </si>
  <si>
    <t>Kwiecień</t>
  </si>
  <si>
    <t>Maj</t>
  </si>
  <si>
    <t>Czerwiec</t>
  </si>
  <si>
    <t>Lipiec</t>
  </si>
  <si>
    <t>Sierpień</t>
  </si>
  <si>
    <t>Wrzesień</t>
  </si>
  <si>
    <t>Pażdzernik</t>
  </si>
  <si>
    <t>Listopad</t>
  </si>
  <si>
    <t>Grudzień</t>
  </si>
  <si>
    <t>No. Miesiąc</t>
  </si>
  <si>
    <t>Łączna kwota wydatków</t>
  </si>
  <si>
    <t>Reszta</t>
  </si>
  <si>
    <t>Kwota</t>
  </si>
  <si>
    <t xml:space="preserve">Miesiąc        </t>
  </si>
  <si>
    <t xml:space="preserve">Miesięczny Budżet : </t>
  </si>
  <si>
    <t>Zostało :</t>
  </si>
  <si>
    <t>OSOBISTY BUDŻET MIESIĘCZNY</t>
  </si>
  <si>
    <t>Data</t>
  </si>
  <si>
    <t>Kategoria</t>
  </si>
  <si>
    <t>Średnie miesięczne wydatki</t>
  </si>
  <si>
    <t>Kurs walut</t>
  </si>
  <si>
    <t>dolara amerykańskiego 1 USD</t>
  </si>
  <si>
    <t>franka szwajcarskiego 1 CHF</t>
  </si>
  <si>
    <t>euro 1 EUR</t>
  </si>
  <si>
    <t>funta szterlinga 1 GBP</t>
  </si>
  <si>
    <t>rubla rosyjskiego 1 RUB</t>
  </si>
  <si>
    <t>hrywny (Ukraina) 1 UAH</t>
  </si>
  <si>
    <t>korony czeskiej 1 CZK</t>
  </si>
  <si>
    <t>korony szwedzkiej 1 SEK</t>
  </si>
  <si>
    <t>zł</t>
  </si>
  <si>
    <t>luty</t>
  </si>
  <si>
    <t>styczeń</t>
  </si>
  <si>
    <t>marzec</t>
  </si>
  <si>
    <t>kwiecień</t>
  </si>
  <si>
    <t>maj</t>
  </si>
  <si>
    <t>czerwiec</t>
  </si>
  <si>
    <t>lipiec</t>
  </si>
  <si>
    <t>sierpień</t>
  </si>
  <si>
    <t>wrzesień</t>
  </si>
  <si>
    <t>październik</t>
  </si>
  <si>
    <t>listopad</t>
  </si>
  <si>
    <t>grudzień</t>
  </si>
  <si>
    <t>Historia przychodów</t>
  </si>
  <si>
    <t>Wynagrodzenie, faktury</t>
  </si>
  <si>
    <t>Odsetki, dywidendy</t>
  </si>
  <si>
    <t>Prezenty</t>
  </si>
  <si>
    <t>Sprzedaż</t>
  </si>
  <si>
    <t>Datki na dziecko</t>
  </si>
  <si>
    <t>Opłaty i dotacje</t>
  </si>
  <si>
    <t>Łączna kwota przychodów</t>
  </si>
  <si>
    <t>Różnica :</t>
  </si>
  <si>
    <t>Średni miesięczny przychód</t>
  </si>
  <si>
    <t>Wydatki</t>
  </si>
  <si>
    <t>Przychód</t>
  </si>
  <si>
    <t>SUMA</t>
  </si>
  <si>
    <r>
      <t xml:space="preserve">Made by </t>
    </r>
    <r>
      <rPr>
        <b/>
        <sz val="12"/>
        <color theme="0"/>
        <rFont val="Calibri"/>
        <family val="2"/>
        <scheme val="minor"/>
      </rPr>
      <t>Maryia Shyliankova</t>
    </r>
  </si>
  <si>
    <r>
      <rPr>
        <sz val="12"/>
        <color theme="0"/>
        <rFont val="Calibri"/>
        <family val="2"/>
        <charset val="238"/>
        <scheme val="minor"/>
      </rPr>
      <t xml:space="preserve">ID: </t>
    </r>
    <r>
      <rPr>
        <b/>
        <sz val="12"/>
        <color theme="0"/>
        <rFont val="Calibri"/>
        <family val="2"/>
        <charset val="238"/>
        <scheme val="minor"/>
      </rPr>
      <t>411823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</si>
</sst>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* #,##0.00\ &quot;zł&quot;_-;\-* #,##0.00\ &quot;zł&quot;_-;_-* &quot;-&quot;??\ &quot;zł&quot;_-;_-@_-"/>
    <numFmt numFmtId="164" formatCode="_-* #,##0.0000\ &quot;zł&quot;_-;\-* #,##0.0000\ &quot;zł&quot;_-;_-* &quot;-&quot;??\ &quot;zł&quot;_-;_-@_-"/>
    <numFmt numFmtId="165" formatCode="0.0%"/>
    <numFmt numFmtId="166" formatCode="#,##0.00\ &quot;zł&quot;"/>
    <numFmt numFmtId="167" formatCode="0.00000%"/>
  </numFmts>
  <fonts count="28" x14ac:knownFonts="1">
    <font>
      <sz val="11"/>
      <color theme="1"/>
      <name val="Calibri"/>
      <family val="2"/>
      <scheme val="minor"/>
    </font>
    <font>
      <b/>
      <sz val="26"/>
      <color theme="0"/>
      <name val="Calibri"/>
      <family val="2"/>
      <charset val="238"/>
      <scheme val="minor"/>
    </font>
    <font>
      <sz val="11"/>
      <color theme="0"/>
      <name val="Calibri"/>
      <family val="2"/>
      <scheme val="minor"/>
    </font>
    <font>
      <b/>
      <sz val="18"/>
      <color theme="0"/>
      <name val="Calibri"/>
      <family val="2"/>
      <charset val="238"/>
      <scheme val="minor"/>
    </font>
    <font>
      <sz val="14"/>
      <color theme="1"/>
      <name val="Calibri"/>
      <family val="2"/>
      <scheme val="minor"/>
    </font>
    <font>
      <sz val="18"/>
      <color theme="0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charset val="238"/>
      <scheme val="minor"/>
    </font>
    <font>
      <sz val="16"/>
      <color theme="1"/>
      <name val="Calibri"/>
      <family val="2"/>
      <scheme val="minor"/>
    </font>
    <font>
      <b/>
      <sz val="20"/>
      <color theme="6" tint="-0.499984740745262"/>
      <name val="Calibri"/>
      <family val="2"/>
      <charset val="238"/>
      <scheme val="minor"/>
    </font>
    <font>
      <b/>
      <sz val="16"/>
      <color theme="0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  <charset val="238"/>
      <scheme val="minor"/>
    </font>
    <font>
      <b/>
      <sz val="12"/>
      <color rgb="FF33CC33"/>
      <name val="Calibri"/>
      <family val="2"/>
      <charset val="238"/>
      <scheme val="minor"/>
    </font>
    <font>
      <b/>
      <sz val="12"/>
      <color rgb="FFFF0000"/>
      <name val="Calibri"/>
      <family val="2"/>
      <charset val="238"/>
      <scheme val="minor"/>
    </font>
    <font>
      <sz val="14"/>
      <name val="Calibri"/>
      <family val="2"/>
      <charset val="238"/>
      <scheme val="minor"/>
    </font>
    <font>
      <sz val="11"/>
      <color rgb="FF000000"/>
      <name val="Calibri"/>
      <family val="2"/>
      <charset val="238"/>
      <scheme val="minor"/>
    </font>
    <font>
      <b/>
      <sz val="14"/>
      <color theme="0"/>
      <name val="Calibri"/>
      <family val="2"/>
      <charset val="238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charset val="238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charset val="238"/>
      <scheme val="minor"/>
    </font>
    <font>
      <b/>
      <sz val="12"/>
      <color theme="0"/>
      <name val="Calibri"/>
      <family val="2"/>
      <charset val="23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B7C1E0"/>
        <bgColor indexed="64"/>
      </patternFill>
    </fill>
    <fill>
      <patternFill patternType="solid">
        <fgColor rgb="FFCBD2E8"/>
        <bgColor indexed="64"/>
      </patternFill>
    </fill>
    <fill>
      <patternFill patternType="solid">
        <fgColor rgb="FF6883C6"/>
        <bgColor indexed="64"/>
      </patternFill>
    </fill>
    <fill>
      <patternFill patternType="solid">
        <fgColor rgb="FF869BD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5">
    <border>
      <left/>
      <right/>
      <top/>
      <bottom/>
      <diagonal/>
    </border>
    <border>
      <left style="medium">
        <color theme="2" tint="-9.9948118533890809E-2"/>
      </left>
      <right style="medium">
        <color theme="2" tint="-9.9948118533890809E-2"/>
      </right>
      <top style="medium">
        <color theme="2" tint="-9.9948118533890809E-2"/>
      </top>
      <bottom style="medium">
        <color theme="2" tint="-9.9917600024414813E-2"/>
      </bottom>
      <diagonal/>
    </border>
    <border>
      <left style="medium">
        <color theme="2" tint="-9.9948118533890809E-2"/>
      </left>
      <right style="medium">
        <color theme="2" tint="-9.9948118533890809E-2"/>
      </right>
      <top style="medium">
        <color theme="2" tint="-9.9917600024414813E-2"/>
      </top>
      <bottom style="medium">
        <color theme="2" tint="-9.9917600024414813E-2"/>
      </bottom>
      <diagonal/>
    </border>
    <border>
      <left style="medium">
        <color theme="2" tint="-9.9948118533890809E-2"/>
      </left>
      <right style="medium">
        <color theme="2" tint="-9.9948118533890809E-2"/>
      </right>
      <top style="medium">
        <color theme="2" tint="-9.9917600024414813E-2"/>
      </top>
      <bottom style="double">
        <color theme="2" tint="-9.9917600024414813E-2"/>
      </bottom>
      <diagonal/>
    </border>
    <border>
      <left style="medium">
        <color theme="2" tint="-9.9948118533890809E-2"/>
      </left>
      <right style="medium">
        <color theme="2" tint="-9.9948118533890809E-2"/>
      </right>
      <top style="double">
        <color theme="2" tint="-9.9917600024414813E-2"/>
      </top>
      <bottom style="double">
        <color theme="2" tint="-9.9917600024414813E-2"/>
      </bottom>
      <diagonal/>
    </border>
    <border>
      <left style="medium">
        <color theme="2" tint="-9.9948118533890809E-2"/>
      </left>
      <right style="medium">
        <color theme="2" tint="-9.9948118533890809E-2"/>
      </right>
      <top style="double">
        <color theme="2" tint="-9.9917600024414813E-2"/>
      </top>
      <bottom style="double">
        <color theme="2" tint="-9.9948118533890809E-2"/>
      </bottom>
      <diagonal/>
    </border>
    <border>
      <left style="medium">
        <color theme="2" tint="-9.9948118533890809E-2"/>
      </left>
      <right/>
      <top style="medium">
        <color theme="2" tint="-9.9948118533890809E-2"/>
      </top>
      <bottom style="medium">
        <color theme="2" tint="-9.9917600024414813E-2"/>
      </bottom>
      <diagonal/>
    </border>
    <border>
      <left/>
      <right/>
      <top style="medium">
        <color theme="2" tint="-9.9948118533890809E-2"/>
      </top>
      <bottom style="medium">
        <color theme="2" tint="-9.9917600024414813E-2"/>
      </bottom>
      <diagonal/>
    </border>
    <border>
      <left/>
      <right style="medium">
        <color theme="2" tint="-9.9948118533890809E-2"/>
      </right>
      <top style="medium">
        <color theme="2" tint="-9.9948118533890809E-2"/>
      </top>
      <bottom style="medium">
        <color theme="2" tint="-9.9917600024414813E-2"/>
      </bottom>
      <diagonal/>
    </border>
    <border>
      <left style="medium">
        <color theme="2" tint="-9.9948118533890809E-2"/>
      </left>
      <right/>
      <top style="medium">
        <color theme="2" tint="-9.9917600024414813E-2"/>
      </top>
      <bottom style="medium">
        <color theme="2" tint="-9.9917600024414813E-2"/>
      </bottom>
      <diagonal/>
    </border>
    <border>
      <left/>
      <right/>
      <top style="medium">
        <color theme="2" tint="-9.9917600024414813E-2"/>
      </top>
      <bottom style="medium">
        <color theme="2" tint="-9.9917600024414813E-2"/>
      </bottom>
      <diagonal/>
    </border>
    <border>
      <left/>
      <right style="medium">
        <color theme="2" tint="-9.9948118533890809E-2"/>
      </right>
      <top style="medium">
        <color theme="2" tint="-9.9917600024414813E-2"/>
      </top>
      <bottom style="medium">
        <color theme="2" tint="-9.9917600024414813E-2"/>
      </bottom>
      <diagonal/>
    </border>
    <border>
      <left style="medium">
        <color theme="2" tint="-9.9917600024414813E-2"/>
      </left>
      <right/>
      <top style="medium">
        <color theme="2" tint="-9.9917600024414813E-2"/>
      </top>
      <bottom style="medium">
        <color theme="2" tint="-9.9948118533890809E-2"/>
      </bottom>
      <diagonal/>
    </border>
    <border>
      <left/>
      <right/>
      <top style="medium">
        <color theme="2" tint="-9.9917600024414813E-2"/>
      </top>
      <bottom style="medium">
        <color theme="2" tint="-9.9948118533890809E-2"/>
      </bottom>
      <diagonal/>
    </border>
    <border>
      <left/>
      <right style="medium">
        <color theme="2" tint="-9.9917600024414813E-2"/>
      </right>
      <top style="medium">
        <color theme="2" tint="-9.9917600024414813E-2"/>
      </top>
      <bottom style="medium">
        <color theme="2" tint="-9.9948118533890809E-2"/>
      </bottom>
      <diagonal/>
    </border>
    <border>
      <left style="medium">
        <color theme="2" tint="-9.9948118533890809E-2"/>
      </left>
      <right/>
      <top style="double">
        <color theme="2" tint="-9.9917600024414813E-2"/>
      </top>
      <bottom style="double">
        <color theme="2" tint="-9.9917600024414813E-2"/>
      </bottom>
      <diagonal/>
    </border>
    <border>
      <left/>
      <right/>
      <top style="double">
        <color theme="2" tint="-9.9917600024414813E-2"/>
      </top>
      <bottom style="double">
        <color theme="2" tint="-9.9917600024414813E-2"/>
      </bottom>
      <diagonal/>
    </border>
    <border>
      <left/>
      <right style="medium">
        <color theme="2" tint="-9.9948118533890809E-2"/>
      </right>
      <top style="double">
        <color theme="2" tint="-9.9917600024414813E-2"/>
      </top>
      <bottom style="double">
        <color theme="2" tint="-9.9917600024414813E-2"/>
      </bottom>
      <diagonal/>
    </border>
    <border>
      <left style="medium">
        <color theme="2" tint="-9.9948118533890809E-2"/>
      </left>
      <right/>
      <top style="double">
        <color theme="2" tint="-9.9917600024414813E-2"/>
      </top>
      <bottom style="double">
        <color theme="2" tint="-9.9948118533890809E-2"/>
      </bottom>
      <diagonal/>
    </border>
    <border>
      <left/>
      <right/>
      <top style="double">
        <color theme="2" tint="-9.9917600024414813E-2"/>
      </top>
      <bottom style="double">
        <color theme="2" tint="-9.9948118533890809E-2"/>
      </bottom>
      <diagonal/>
    </border>
    <border>
      <left/>
      <right style="medium">
        <color theme="2" tint="-9.9948118533890809E-2"/>
      </right>
      <top style="double">
        <color theme="2" tint="-9.9917600024414813E-2"/>
      </top>
      <bottom style="double">
        <color theme="2" tint="-9.9948118533890809E-2"/>
      </bottom>
      <diagonal/>
    </border>
    <border>
      <left/>
      <right/>
      <top style="medium">
        <color theme="2" tint="-9.9917600024414813E-2"/>
      </top>
      <bottom/>
      <diagonal/>
    </border>
    <border>
      <left style="medium">
        <color theme="2" tint="-9.9917600024414813E-2"/>
      </left>
      <right/>
      <top style="medium">
        <color theme="2" tint="-9.9917600024414813E-2"/>
      </top>
      <bottom/>
      <diagonal/>
    </border>
    <border>
      <left/>
      <right style="medium">
        <color theme="2" tint="-9.9917600024414813E-2"/>
      </right>
      <top style="medium">
        <color theme="2" tint="-9.9917600024414813E-2"/>
      </top>
      <bottom/>
      <diagonal/>
    </border>
    <border>
      <left style="medium">
        <color theme="2" tint="-9.9948118533890809E-2"/>
      </left>
      <right style="medium">
        <color theme="2" tint="-9.9917600024414813E-2"/>
      </right>
      <top style="medium">
        <color theme="2" tint="-9.9917600024414813E-2"/>
      </top>
      <bottom style="medium">
        <color theme="2" tint="-9.9917600024414813E-2"/>
      </bottom>
      <diagonal/>
    </border>
    <border>
      <left style="medium">
        <color theme="2" tint="-9.9917600024414813E-2"/>
      </left>
      <right style="medium">
        <color theme="2" tint="-9.9917600024414813E-2"/>
      </right>
      <top style="medium">
        <color theme="2" tint="-9.9917600024414813E-2"/>
      </top>
      <bottom style="medium">
        <color theme="2" tint="-9.9917600024414813E-2"/>
      </bottom>
      <diagonal/>
    </border>
    <border>
      <left style="medium">
        <color theme="2" tint="-9.9917600024414813E-2"/>
      </left>
      <right/>
      <top/>
      <bottom/>
      <diagonal/>
    </border>
    <border>
      <left style="medium">
        <color theme="2" tint="-9.9948118533890809E-2"/>
      </left>
      <right style="medium">
        <color theme="2" tint="-9.9948118533890809E-2"/>
      </right>
      <top style="medium">
        <color theme="2" tint="-9.9917600024414813E-2"/>
      </top>
      <bottom style="medium">
        <color theme="2" tint="-9.9948118533890809E-2"/>
      </bottom>
      <diagonal/>
    </border>
    <border>
      <left style="medium">
        <color theme="2" tint="-9.9948118533890809E-2"/>
      </left>
      <right/>
      <top style="medium">
        <color theme="2" tint="-9.9917600024414813E-2"/>
      </top>
      <bottom style="medium">
        <color theme="2" tint="-9.9948118533890809E-2"/>
      </bottom>
      <diagonal/>
    </border>
    <border>
      <left/>
      <right style="medium">
        <color theme="2" tint="-9.9948118533890809E-2"/>
      </right>
      <top style="medium">
        <color theme="2" tint="-9.9917600024414813E-2"/>
      </top>
      <bottom style="medium">
        <color theme="2" tint="-9.9948118533890809E-2"/>
      </bottom>
      <diagonal/>
    </border>
    <border>
      <left style="medium">
        <color theme="2" tint="-9.9917600024414813E-2"/>
      </left>
      <right/>
      <top/>
      <bottom style="medium">
        <color theme="2" tint="-9.9917600024414813E-2"/>
      </bottom>
      <diagonal/>
    </border>
    <border>
      <left/>
      <right/>
      <top/>
      <bottom style="medium">
        <color theme="2" tint="-9.9917600024414813E-2"/>
      </bottom>
      <diagonal/>
    </border>
    <border>
      <left style="medium">
        <color theme="2" tint="-9.9948118533890809E-2"/>
      </left>
      <right style="medium">
        <color theme="2" tint="-9.9917600024414813E-2"/>
      </right>
      <top/>
      <bottom style="medium">
        <color theme="2" tint="-9.9917600024414813E-2"/>
      </bottom>
      <diagonal/>
    </border>
    <border>
      <left style="medium">
        <color theme="2" tint="-9.9917600024414813E-2"/>
      </left>
      <right style="medium">
        <color theme="2" tint="-9.9917600024414813E-2"/>
      </right>
      <top/>
      <bottom style="medium">
        <color theme="2" tint="-9.9917600024414813E-2"/>
      </bottom>
      <diagonal/>
    </border>
    <border>
      <left style="medium">
        <color theme="2" tint="-9.9917600024414813E-2"/>
      </left>
      <right style="medium">
        <color theme="2" tint="-9.9887081514938816E-2"/>
      </right>
      <top style="medium">
        <color theme="2" tint="-9.9917600024414813E-2"/>
      </top>
      <bottom style="medium">
        <color theme="2" tint="-9.9917600024414813E-2"/>
      </bottom>
      <diagonal/>
    </border>
    <border>
      <left style="medium">
        <color theme="2" tint="-9.9948118533890809E-2"/>
      </left>
      <right/>
      <top style="medium">
        <color theme="2" tint="-9.9917600024414813E-2"/>
      </top>
      <bottom style="double">
        <color theme="2" tint="-9.9917600024414813E-2"/>
      </bottom>
      <diagonal/>
    </border>
    <border>
      <left/>
      <right/>
      <top style="medium">
        <color theme="2" tint="-9.9917600024414813E-2"/>
      </top>
      <bottom style="double">
        <color theme="2" tint="-9.9917600024414813E-2"/>
      </bottom>
      <diagonal/>
    </border>
    <border>
      <left/>
      <right style="medium">
        <color theme="2" tint="-9.9948118533890809E-2"/>
      </right>
      <top style="medium">
        <color theme="2" tint="-9.9917600024414813E-2"/>
      </top>
      <bottom style="double">
        <color theme="2" tint="-9.9917600024414813E-2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theme="2" tint="-9.9948118533890809E-2"/>
      </left>
      <right/>
      <top style="medium">
        <color theme="2" tint="-9.9917600024414813E-2"/>
      </top>
      <bottom/>
      <diagonal/>
    </border>
    <border>
      <left/>
      <right style="medium">
        <color theme="2" tint="-9.9948118533890809E-2"/>
      </right>
      <top style="medium">
        <color theme="2" tint="-9.9917600024414813E-2"/>
      </top>
      <bottom/>
      <diagonal/>
    </border>
    <border>
      <left style="medium">
        <color theme="2" tint="-9.9917600024414813E-2"/>
      </left>
      <right/>
      <top style="medium">
        <color theme="0" tint="-0.14996795556505021"/>
      </top>
      <bottom style="medium">
        <color theme="2" tint="-9.9917600024414813E-2"/>
      </bottom>
      <diagonal/>
    </border>
    <border>
      <left/>
      <right/>
      <top style="medium">
        <color theme="0" tint="-0.14996795556505021"/>
      </top>
      <bottom style="medium">
        <color theme="2" tint="-9.9917600024414813E-2"/>
      </bottom>
      <diagonal/>
    </border>
    <border>
      <left/>
      <right style="medium">
        <color theme="2" tint="-9.9917600024414813E-2"/>
      </right>
      <top style="medium">
        <color theme="0" tint="-0.14996795556505021"/>
      </top>
      <bottom style="medium">
        <color theme="2" tint="-9.9917600024414813E-2"/>
      </bottom>
      <diagonal/>
    </border>
  </borders>
  <cellStyleXfs count="3">
    <xf numFmtId="0" fontId="0" fillId="0" borderId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</cellStyleXfs>
  <cellXfs count="114">
    <xf numFmtId="0" fontId="0" fillId="0" borderId="0" xfId="0"/>
    <xf numFmtId="0" fontId="2" fillId="0" borderId="0" xfId="0" applyFont="1"/>
    <xf numFmtId="0" fontId="2" fillId="2" borderId="0" xfId="0" applyFont="1" applyFill="1"/>
    <xf numFmtId="2" fontId="0" fillId="0" borderId="0" xfId="0" applyNumberFormat="1"/>
    <xf numFmtId="44" fontId="7" fillId="0" borderId="1" xfId="1" applyFont="1" applyBorder="1"/>
    <xf numFmtId="44" fontId="7" fillId="0" borderId="2" xfId="1" applyFont="1" applyBorder="1"/>
    <xf numFmtId="49" fontId="4" fillId="0" borderId="2" xfId="0" applyNumberFormat="1" applyFont="1" applyBorder="1" applyAlignment="1">
      <alignment horizontal="left"/>
    </xf>
    <xf numFmtId="49" fontId="4" fillId="0" borderId="9" xfId="0" applyNumberFormat="1" applyFont="1" applyBorder="1" applyAlignment="1">
      <alignment horizontal="left"/>
    </xf>
    <xf numFmtId="49" fontId="4" fillId="0" borderId="10" xfId="0" applyNumberFormat="1" applyFont="1" applyBorder="1" applyAlignment="1">
      <alignment horizontal="left"/>
    </xf>
    <xf numFmtId="49" fontId="4" fillId="0" borderId="11" xfId="0" applyNumberFormat="1" applyFont="1" applyBorder="1" applyAlignment="1">
      <alignment horizontal="left"/>
    </xf>
    <xf numFmtId="49" fontId="8" fillId="3" borderId="3" xfId="0" applyNumberFormat="1" applyFont="1" applyFill="1" applyBorder="1" applyAlignment="1">
      <alignment horizontal="left"/>
    </xf>
    <xf numFmtId="44" fontId="12" fillId="3" borderId="3" xfId="1" applyFont="1" applyFill="1" applyBorder="1"/>
    <xf numFmtId="44" fontId="12" fillId="3" borderId="4" xfId="1" applyFont="1" applyFill="1" applyBorder="1" applyAlignment="1">
      <alignment horizontal="right"/>
    </xf>
    <xf numFmtId="44" fontId="12" fillId="3" borderId="5" xfId="1" applyFont="1" applyFill="1" applyBorder="1"/>
    <xf numFmtId="0" fontId="0" fillId="5" borderId="0" xfId="0" applyFill="1"/>
    <xf numFmtId="0" fontId="2" fillId="5" borderId="0" xfId="0" applyFont="1" applyFill="1"/>
    <xf numFmtId="0" fontId="1" fillId="5" borderId="0" xfId="0" applyFont="1" applyFill="1"/>
    <xf numFmtId="2" fontId="11" fillId="5" borderId="0" xfId="0" applyNumberFormat="1" applyFont="1" applyFill="1"/>
    <xf numFmtId="0" fontId="5" fillId="5" borderId="0" xfId="0" applyFont="1" applyFill="1" applyAlignment="1">
      <alignment horizontal="left"/>
    </xf>
    <xf numFmtId="0" fontId="3" fillId="5" borderId="0" xfId="0" applyFont="1" applyFill="1" applyAlignment="1">
      <alignment horizontal="left"/>
    </xf>
    <xf numFmtId="0" fontId="11" fillId="5" borderId="0" xfId="0" applyFont="1" applyFill="1"/>
    <xf numFmtId="0" fontId="10" fillId="0" borderId="0" xfId="0" applyFont="1" applyAlignment="1">
      <alignment vertical="top"/>
    </xf>
    <xf numFmtId="0" fontId="8" fillId="3" borderId="15" xfId="0" applyFont="1" applyFill="1" applyBorder="1"/>
    <xf numFmtId="0" fontId="8" fillId="3" borderId="16" xfId="0" applyFont="1" applyFill="1" applyBorder="1"/>
    <xf numFmtId="0" fontId="8" fillId="3" borderId="17" xfId="0" applyFont="1" applyFill="1" applyBorder="1"/>
    <xf numFmtId="49" fontId="8" fillId="3" borderId="18" xfId="0" applyNumberFormat="1" applyFont="1" applyFill="1" applyBorder="1"/>
    <xf numFmtId="49" fontId="8" fillId="3" borderId="19" xfId="0" applyNumberFormat="1" applyFont="1" applyFill="1" applyBorder="1"/>
    <xf numFmtId="49" fontId="8" fillId="3" borderId="20" xfId="0" applyNumberFormat="1" applyFont="1" applyFill="1" applyBorder="1"/>
    <xf numFmtId="49" fontId="4" fillId="0" borderId="6" xfId="0" applyNumberFormat="1" applyFont="1" applyBorder="1"/>
    <xf numFmtId="49" fontId="4" fillId="0" borderId="7" xfId="0" applyNumberFormat="1" applyFont="1" applyBorder="1"/>
    <xf numFmtId="49" fontId="4" fillId="0" borderId="8" xfId="0" applyNumberFormat="1" applyFont="1" applyBorder="1"/>
    <xf numFmtId="0" fontId="13" fillId="0" borderId="0" xfId="0" applyFont="1" applyAlignment="1">
      <alignment horizontal="right"/>
    </xf>
    <xf numFmtId="0" fontId="13" fillId="0" borderId="0" xfId="0" applyFont="1" applyAlignment="1">
      <alignment horizontal="left"/>
    </xf>
    <xf numFmtId="14" fontId="7" fillId="0" borderId="0" xfId="0" applyNumberFormat="1" applyFont="1" applyAlignment="1">
      <alignment horizontal="left"/>
    </xf>
    <xf numFmtId="49" fontId="7" fillId="0" borderId="0" xfId="0" applyNumberFormat="1" applyFont="1" applyAlignment="1">
      <alignment horizontal="left"/>
    </xf>
    <xf numFmtId="164" fontId="7" fillId="0" borderId="1" xfId="1" applyNumberFormat="1" applyFont="1" applyBorder="1"/>
    <xf numFmtId="164" fontId="7" fillId="0" borderId="2" xfId="1" applyNumberFormat="1" applyFont="1" applyBorder="1"/>
    <xf numFmtId="44" fontId="0" fillId="0" borderId="0" xfId="0" applyNumberFormat="1"/>
    <xf numFmtId="49" fontId="4" fillId="4" borderId="6" xfId="0" applyNumberFormat="1" applyFont="1" applyFill="1" applyBorder="1"/>
    <xf numFmtId="49" fontId="4" fillId="4" borderId="7" xfId="0" applyNumberFormat="1" applyFont="1" applyFill="1" applyBorder="1"/>
    <xf numFmtId="49" fontId="4" fillId="4" borderId="8" xfId="0" applyNumberFormat="1" applyFont="1" applyFill="1" applyBorder="1"/>
    <xf numFmtId="49" fontId="4" fillId="4" borderId="9" xfId="0" applyNumberFormat="1" applyFont="1" applyFill="1" applyBorder="1" applyAlignment="1">
      <alignment horizontal="left"/>
    </xf>
    <xf numFmtId="49" fontId="4" fillId="4" borderId="10" xfId="0" applyNumberFormat="1" applyFont="1" applyFill="1" applyBorder="1" applyAlignment="1">
      <alignment horizontal="left"/>
    </xf>
    <xf numFmtId="49" fontId="4" fillId="4" borderId="11" xfId="0" applyNumberFormat="1" applyFont="1" applyFill="1" applyBorder="1" applyAlignment="1">
      <alignment horizontal="left"/>
    </xf>
    <xf numFmtId="49" fontId="4" fillId="4" borderId="2" xfId="0" applyNumberFormat="1" applyFont="1" applyFill="1" applyBorder="1" applyAlignment="1">
      <alignment horizontal="left"/>
    </xf>
    <xf numFmtId="0" fontId="19" fillId="4" borderId="27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 vertical="center"/>
    </xf>
    <xf numFmtId="0" fontId="20" fillId="0" borderId="0" xfId="0" applyFont="1"/>
    <xf numFmtId="49" fontId="7" fillId="0" borderId="0" xfId="0" applyNumberFormat="1" applyFont="1"/>
    <xf numFmtId="166" fontId="7" fillId="0" borderId="0" xfId="1" applyNumberFormat="1" applyFont="1"/>
    <xf numFmtId="49" fontId="15" fillId="0" borderId="0" xfId="0" applyNumberFormat="1" applyFont="1" applyAlignment="1">
      <alignment horizontal="left"/>
    </xf>
    <xf numFmtId="165" fontId="16" fillId="0" borderId="25" xfId="2" applyNumberFormat="1" applyFont="1" applyBorder="1" applyAlignment="1">
      <alignment horizontal="center"/>
    </xf>
    <xf numFmtId="165" fontId="16" fillId="0" borderId="32" xfId="2" applyNumberFormat="1" applyFont="1" applyBorder="1"/>
    <xf numFmtId="165" fontId="17" fillId="0" borderId="33" xfId="2" applyNumberFormat="1" applyFont="1" applyBorder="1"/>
    <xf numFmtId="165" fontId="18" fillId="0" borderId="33" xfId="2" applyNumberFormat="1" applyFont="1" applyBorder="1"/>
    <xf numFmtId="165" fontId="16" fillId="0" borderId="24" xfId="2" applyNumberFormat="1" applyFont="1" applyBorder="1"/>
    <xf numFmtId="165" fontId="18" fillId="0" borderId="25" xfId="2" applyNumberFormat="1" applyFont="1" applyBorder="1"/>
    <xf numFmtId="165" fontId="17" fillId="0" borderId="25" xfId="2" applyNumberFormat="1" applyFont="1" applyBorder="1"/>
    <xf numFmtId="165" fontId="17" fillId="0" borderId="2" xfId="2" applyNumberFormat="1" applyFont="1" applyBorder="1" applyAlignment="1">
      <alignment horizontal="center"/>
    </xf>
    <xf numFmtId="165" fontId="17" fillId="0" borderId="25" xfId="2" applyNumberFormat="1" applyFont="1" applyBorder="1" applyAlignment="1">
      <alignment horizontal="center"/>
    </xf>
    <xf numFmtId="165" fontId="17" fillId="0" borderId="24" xfId="2" applyNumberFormat="1" applyFont="1" applyBorder="1" applyAlignment="1">
      <alignment horizontal="center"/>
    </xf>
    <xf numFmtId="166" fontId="15" fillId="0" borderId="0" xfId="1" applyNumberFormat="1" applyFont="1" applyAlignment="1">
      <alignment horizontal="left"/>
    </xf>
    <xf numFmtId="14" fontId="15" fillId="0" borderId="0" xfId="0" applyNumberFormat="1" applyFont="1" applyAlignment="1">
      <alignment horizontal="left"/>
    </xf>
    <xf numFmtId="166" fontId="0" fillId="0" borderId="0" xfId="0" applyNumberFormat="1"/>
    <xf numFmtId="44" fontId="12" fillId="0" borderId="0" xfId="1" applyFont="1"/>
    <xf numFmtId="167" fontId="0" fillId="0" borderId="0" xfId="2" applyNumberFormat="1" applyFont="1"/>
    <xf numFmtId="0" fontId="0" fillId="7" borderId="0" xfId="0" applyFill="1"/>
    <xf numFmtId="0" fontId="0" fillId="9" borderId="38" xfId="0" applyFill="1" applyBorder="1"/>
    <xf numFmtId="0" fontId="0" fillId="0" borderId="38" xfId="0" applyBorder="1"/>
    <xf numFmtId="0" fontId="21" fillId="8" borderId="39" xfId="0" applyFont="1" applyFill="1" applyBorder="1" applyAlignment="1">
      <alignment horizontal="left"/>
    </xf>
    <xf numFmtId="44" fontId="7" fillId="0" borderId="0" xfId="1" applyFont="1"/>
    <xf numFmtId="0" fontId="22" fillId="8" borderId="39" xfId="0" applyFont="1" applyFill="1" applyBorder="1"/>
    <xf numFmtId="2" fontId="18" fillId="0" borderId="1" xfId="2" applyNumberFormat="1" applyFont="1" applyBorder="1" applyAlignment="1">
      <alignment horizontal="center"/>
    </xf>
    <xf numFmtId="2" fontId="18" fillId="0" borderId="25" xfId="2" applyNumberFormat="1" applyFont="1" applyBorder="1" applyAlignment="1">
      <alignment horizontal="center"/>
    </xf>
    <xf numFmtId="2" fontId="18" fillId="0" borderId="24" xfId="2" applyNumberFormat="1" applyFont="1" applyBorder="1" applyAlignment="1">
      <alignment horizontal="center"/>
    </xf>
    <xf numFmtId="2" fontId="18" fillId="0" borderId="25" xfId="2" applyNumberFormat="1" applyFont="1" applyBorder="1" applyAlignment="1">
      <alignment horizontal="center" vertical="center"/>
    </xf>
    <xf numFmtId="2" fontId="17" fillId="0" borderId="2" xfId="2" applyNumberFormat="1" applyFont="1" applyFill="1" applyBorder="1" applyAlignment="1">
      <alignment horizontal="center"/>
    </xf>
    <xf numFmtId="2" fontId="17" fillId="0" borderId="24" xfId="2" applyNumberFormat="1" applyFont="1" applyFill="1" applyBorder="1" applyAlignment="1">
      <alignment horizontal="center"/>
    </xf>
    <xf numFmtId="2" fontId="17" fillId="0" borderId="25" xfId="2" applyNumberFormat="1" applyFont="1" applyFill="1" applyBorder="1" applyAlignment="1">
      <alignment horizontal="center" vertical="center"/>
    </xf>
    <xf numFmtId="2" fontId="17" fillId="0" borderId="25" xfId="2" applyNumberFormat="1" applyFont="1" applyFill="1" applyBorder="1" applyAlignment="1">
      <alignment horizontal="center"/>
    </xf>
    <xf numFmtId="44" fontId="12" fillId="0" borderId="0" xfId="0" applyNumberFormat="1" applyFont="1"/>
    <xf numFmtId="0" fontId="23" fillId="5" borderId="0" xfId="0" applyFont="1" applyFill="1"/>
    <xf numFmtId="0" fontId="24" fillId="5" borderId="0" xfId="0" applyFont="1" applyFill="1"/>
    <xf numFmtId="0" fontId="26" fillId="5" borderId="0" xfId="0" applyFont="1" applyFill="1" applyAlignment="1">
      <alignment vertical="top"/>
    </xf>
    <xf numFmtId="165" fontId="17" fillId="0" borderId="25" xfId="2" applyNumberFormat="1" applyFont="1" applyBorder="1" applyAlignment="1">
      <alignment horizontal="center" vertical="center"/>
    </xf>
    <xf numFmtId="0" fontId="19" fillId="4" borderId="40" xfId="0" applyFont="1" applyFill="1" applyBorder="1" applyAlignment="1">
      <alignment horizontal="center"/>
    </xf>
    <xf numFmtId="0" fontId="19" fillId="4" borderId="21" xfId="0" applyFont="1" applyFill="1" applyBorder="1" applyAlignment="1">
      <alignment horizontal="center"/>
    </xf>
    <xf numFmtId="0" fontId="19" fillId="4" borderId="41" xfId="0" applyFont="1" applyFill="1" applyBorder="1" applyAlignment="1">
      <alignment horizontal="center"/>
    </xf>
    <xf numFmtId="2" fontId="12" fillId="4" borderId="42" xfId="2" applyNumberFormat="1" applyFont="1" applyFill="1" applyBorder="1" applyAlignment="1">
      <alignment horizontal="center"/>
    </xf>
    <xf numFmtId="2" fontId="12" fillId="4" borderId="43" xfId="2" applyNumberFormat="1" applyFont="1" applyFill="1" applyBorder="1" applyAlignment="1">
      <alignment horizontal="center"/>
    </xf>
    <xf numFmtId="2" fontId="12" fillId="4" borderId="44" xfId="2" applyNumberFormat="1" applyFont="1" applyFill="1" applyBorder="1" applyAlignment="1">
      <alignment horizontal="center"/>
    </xf>
    <xf numFmtId="0" fontId="9" fillId="4" borderId="12" xfId="0" applyFont="1" applyFill="1" applyBorder="1" applyAlignment="1">
      <alignment horizontal="center"/>
    </xf>
    <xf numFmtId="0" fontId="9" fillId="4" borderId="13" xfId="0" applyFont="1" applyFill="1" applyBorder="1" applyAlignment="1">
      <alignment horizontal="center"/>
    </xf>
    <xf numFmtId="0" fontId="9" fillId="4" borderId="14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29" xfId="0" applyFill="1" applyBorder="1" applyAlignment="1">
      <alignment horizontal="center"/>
    </xf>
    <xf numFmtId="0" fontId="9" fillId="6" borderId="26" xfId="0" applyFont="1" applyFill="1" applyBorder="1" applyAlignment="1">
      <alignment horizontal="center"/>
    </xf>
    <xf numFmtId="0" fontId="9" fillId="6" borderId="0" xfId="0" applyFont="1" applyFill="1" applyAlignment="1">
      <alignment horizontal="center"/>
    </xf>
    <xf numFmtId="0" fontId="10" fillId="0" borderId="0" xfId="0" applyFont="1" applyAlignment="1">
      <alignment horizontal="center" vertical="top"/>
    </xf>
    <xf numFmtId="0" fontId="9" fillId="4" borderId="22" xfId="0" applyFont="1" applyFill="1" applyBorder="1" applyAlignment="1">
      <alignment horizontal="center"/>
    </xf>
    <xf numFmtId="0" fontId="9" fillId="4" borderId="21" xfId="0" applyFont="1" applyFill="1" applyBorder="1" applyAlignment="1">
      <alignment horizontal="center"/>
    </xf>
    <xf numFmtId="0" fontId="9" fillId="4" borderId="23" xfId="0" applyFont="1" applyFill="1" applyBorder="1" applyAlignment="1">
      <alignment horizontal="center"/>
    </xf>
    <xf numFmtId="0" fontId="9" fillId="6" borderId="30" xfId="0" applyFont="1" applyFill="1" applyBorder="1" applyAlignment="1">
      <alignment horizontal="center"/>
    </xf>
    <xf numFmtId="0" fontId="9" fillId="6" borderId="31" xfId="0" applyFont="1" applyFill="1" applyBorder="1" applyAlignment="1">
      <alignment horizontal="center"/>
    </xf>
    <xf numFmtId="49" fontId="4" fillId="0" borderId="9" xfId="0" applyNumberFormat="1" applyFont="1" applyBorder="1" applyAlignment="1">
      <alignment horizontal="left"/>
    </xf>
    <xf numFmtId="49" fontId="4" fillId="0" borderId="10" xfId="0" applyNumberFormat="1" applyFont="1" applyBorder="1" applyAlignment="1">
      <alignment horizontal="left"/>
    </xf>
    <xf numFmtId="49" fontId="4" fillId="0" borderId="11" xfId="0" applyNumberFormat="1" applyFont="1" applyBorder="1" applyAlignment="1">
      <alignment horizontal="left"/>
    </xf>
    <xf numFmtId="49" fontId="8" fillId="3" borderId="35" xfId="0" applyNumberFormat="1" applyFont="1" applyFill="1" applyBorder="1" applyAlignment="1">
      <alignment horizontal="left"/>
    </xf>
    <xf numFmtId="49" fontId="8" fillId="3" borderId="36" xfId="0" applyNumberFormat="1" applyFont="1" applyFill="1" applyBorder="1" applyAlignment="1">
      <alignment horizontal="left"/>
    </xf>
    <xf numFmtId="49" fontId="8" fillId="3" borderId="37" xfId="0" applyNumberFormat="1" applyFont="1" applyFill="1" applyBorder="1" applyAlignment="1">
      <alignment horizontal="left"/>
    </xf>
    <xf numFmtId="0" fontId="13" fillId="0" borderId="0" xfId="0" applyFont="1" applyAlignment="1">
      <alignment horizontal="center"/>
    </xf>
    <xf numFmtId="165" fontId="18" fillId="0" borderId="1" xfId="2" applyNumberFormat="1" applyFont="1" applyBorder="1" applyAlignment="1">
      <alignment horizontal="center"/>
    </xf>
    <xf numFmtId="165" fontId="16" fillId="0" borderId="34" xfId="2" applyNumberFormat="1" applyFont="1" applyBorder="1" applyAlignment="1">
      <alignment horizontal="center"/>
    </xf>
  </cellXfs>
  <cellStyles count="3">
    <cellStyle name="Normalny" xfId="0" builtinId="0"/>
    <cellStyle name="Procentowy" xfId="2" builtinId="5"/>
    <cellStyle name="Walutowy" xfId="1" builtinId="4"/>
  </cellStyles>
  <dxfs count="2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charset val="238"/>
        <scheme val="minor"/>
      </font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6" formatCode="#,##0.00\ &quot;zł&quot;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dd/mm/yyyy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charset val="238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colors>
    <mruColors>
      <color rgb="FF6883C6"/>
      <color rgb="FF33CC33"/>
      <color rgb="FFFF0000"/>
      <color rgb="FFCBD2E8"/>
      <color rgb="FFFF4747"/>
      <color rgb="FFD2DCFA"/>
      <color rgb="FFB7C1E0"/>
      <color rgb="FFCCE9AD"/>
      <color rgb="FFD4D2FA"/>
      <color rgb="FFDBE1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2000" b="1" i="0" u="none" strike="noStrike" kern="1200" baseline="0">
                <a:solidFill>
                  <a:schemeClr val="accent3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2000">
                <a:solidFill>
                  <a:schemeClr val="accent3">
                    <a:lumMod val="50000"/>
                  </a:schemeClr>
                </a:solidFill>
              </a:rPr>
              <a:t>Wydatki według kategorii</a:t>
            </a:r>
          </a:p>
        </c:rich>
      </c:tx>
      <c:layout>
        <c:manualLayout>
          <c:xMode val="edge"/>
          <c:yMode val="edge"/>
          <c:x val="0.21722942668689849"/>
          <c:y val="5.32407880833077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2000" b="1" i="0" u="none" strike="noStrike" kern="1200" baseline="0">
              <a:solidFill>
                <a:schemeClr val="accent3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4.7332771042829257E-2"/>
          <c:y val="0.12476377952755906"/>
          <c:w val="0.738844334456221"/>
          <c:h val="0.8180061015100385"/>
        </c:manualLayout>
      </c:layout>
      <c:doughnutChart>
        <c:varyColors val="1"/>
        <c:ser>
          <c:idx val="0"/>
          <c:order val="0"/>
          <c:explosion val="12"/>
          <c:dPt>
            <c:idx val="0"/>
            <c:bubble3D val="0"/>
            <c:explosion val="1"/>
            <c:spPr>
              <a:solidFill>
                <a:srgbClr val="CBD2E8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5851-4EAD-ADB1-424E6FC732B1}"/>
              </c:ext>
            </c:extLst>
          </c:dPt>
          <c:dPt>
            <c:idx val="1"/>
            <c:bubble3D val="0"/>
            <c:explosion val="0"/>
            <c:spPr>
              <a:solidFill>
                <a:schemeClr val="accent5">
                  <a:tint val="5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5851-4EAD-ADB1-424E6FC732B1}"/>
              </c:ext>
            </c:extLst>
          </c:dPt>
          <c:dPt>
            <c:idx val="2"/>
            <c:bubble3D val="0"/>
            <c:explosion val="0"/>
            <c:spPr>
              <a:solidFill>
                <a:schemeClr val="accent5">
                  <a:tint val="69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5AA-4065-B740-9B7A181E732A}"/>
              </c:ext>
            </c:extLst>
          </c:dPt>
          <c:dPt>
            <c:idx val="3"/>
            <c:bubble3D val="0"/>
            <c:explosion val="0"/>
            <c:spPr>
              <a:solidFill>
                <a:schemeClr val="accent5">
                  <a:tint val="81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5851-4EAD-ADB1-424E6FC732B1}"/>
              </c:ext>
            </c:extLst>
          </c:dPt>
          <c:dPt>
            <c:idx val="4"/>
            <c:bubble3D val="0"/>
            <c:explosion val="0"/>
            <c:spPr>
              <a:solidFill>
                <a:schemeClr val="accent5">
                  <a:tint val="94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95AA-4065-B740-9B7A181E732A}"/>
              </c:ext>
            </c:extLst>
          </c:dPt>
          <c:dPt>
            <c:idx val="5"/>
            <c:bubble3D val="0"/>
            <c:explosion val="0"/>
            <c:spPr>
              <a:solidFill>
                <a:schemeClr val="accent5">
                  <a:shade val="93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95AA-4065-B740-9B7A181E732A}"/>
              </c:ext>
            </c:extLst>
          </c:dPt>
          <c:dPt>
            <c:idx val="6"/>
            <c:bubble3D val="0"/>
            <c:explosion val="0"/>
            <c:spPr>
              <a:solidFill>
                <a:schemeClr val="accent5">
                  <a:shade val="8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95AA-4065-B740-9B7A181E732A}"/>
              </c:ext>
            </c:extLst>
          </c:dPt>
          <c:dPt>
            <c:idx val="7"/>
            <c:bubble3D val="0"/>
            <c:explosion val="0"/>
            <c:spPr>
              <a:solidFill>
                <a:schemeClr val="accent5">
                  <a:shade val="68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95AA-4065-B740-9B7A181E732A}"/>
              </c:ext>
            </c:extLst>
          </c:dPt>
          <c:dPt>
            <c:idx val="8"/>
            <c:bubble3D val="0"/>
            <c:explosion val="0"/>
            <c:spPr>
              <a:solidFill>
                <a:schemeClr val="accent5">
                  <a:shade val="55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95AA-4065-B740-9B7A181E732A}"/>
              </c:ext>
            </c:extLst>
          </c:dPt>
          <c:dPt>
            <c:idx val="9"/>
            <c:bubble3D val="0"/>
            <c:explosion val="0"/>
            <c:spPr>
              <a:solidFill>
                <a:schemeClr val="accent5">
                  <a:shade val="42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95AA-4065-B740-9B7A181E732A}"/>
              </c:ext>
            </c:extLst>
          </c:dPt>
          <c:dLbls>
            <c:spPr>
              <a:noFill/>
              <a:ln w="9525">
                <a:noFill/>
              </a:ln>
              <a:effectLst/>
            </c:spPr>
            <c:txPr>
              <a:bodyPr rot="0" spcFirstLastPara="1" vertOverflow="overflow" horzOverflow="overflow" vert="horz" wrap="non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'Budżet domowy'!$X$16:$X$25</c:f>
              <c:strCache>
                <c:ptCount val="10"/>
                <c:pt idx="0">
                  <c:v>Dom i mieszkanie</c:v>
                </c:pt>
                <c:pt idx="1">
                  <c:v>Jedzenie i napoje</c:v>
                </c:pt>
                <c:pt idx="2">
                  <c:v>Transport</c:v>
                </c:pt>
                <c:pt idx="3">
                  <c:v>Samochód</c:v>
                </c:pt>
                <c:pt idx="4">
                  <c:v>Zdrowie i Uroda</c:v>
                </c:pt>
                <c:pt idx="5">
                  <c:v>Edukacja</c:v>
                </c:pt>
                <c:pt idx="6">
                  <c:v>Rozrywka</c:v>
                </c:pt>
                <c:pt idx="7">
                  <c:v>Zakupy</c:v>
                </c:pt>
                <c:pt idx="8">
                  <c:v>Wycieczki,hotele</c:v>
                </c:pt>
                <c:pt idx="9">
                  <c:v>Komunikacja,elektronika</c:v>
                </c:pt>
              </c:strCache>
            </c:strRef>
          </c:cat>
          <c:val>
            <c:numRef>
              <c:f>'Budżet domowy'!$Y$16:$Y$25</c:f>
              <c:numCache>
                <c:formatCode>General</c:formatCode>
                <c:ptCount val="10"/>
                <c:pt idx="0">
                  <c:v>2245</c:v>
                </c:pt>
                <c:pt idx="1">
                  <c:v>450</c:v>
                </c:pt>
                <c:pt idx="2">
                  <c:v>123</c:v>
                </c:pt>
                <c:pt idx="3">
                  <c:v>#N/A</c:v>
                </c:pt>
                <c:pt idx="4">
                  <c:v>#N/A</c:v>
                </c:pt>
                <c:pt idx="5">
                  <c:v>145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51-4EAD-ADB1-424E6FC732B1}"/>
            </c:ext>
          </c:extLst>
        </c:ser>
        <c:dLbls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349688726925664E-3"/>
          <c:y val="4.9653793275840517E-3"/>
          <c:w val="0.98650940507436569"/>
          <c:h val="0.9950340690172349"/>
        </c:manualLayout>
      </c:layout>
      <c:barChart>
        <c:barDir val="bar"/>
        <c:grouping val="percentStacked"/>
        <c:varyColors val="0"/>
        <c:ser>
          <c:idx val="0"/>
          <c:order val="0"/>
          <c:spPr>
            <a:solidFill>
              <a:srgbClr val="6883C6"/>
            </a:solidFill>
            <a:ln>
              <a:noFill/>
            </a:ln>
            <a:effectLst/>
          </c:spPr>
          <c:invertIfNegative val="0"/>
          <c:val>
            <c:numRef>
              <c:f>'Budżet domowy'!$T$26</c:f>
              <c:numCache>
                <c:formatCode>_("zł"* #,##0.00_);_("zł"* \(#,##0.00\);_("zł"* "-"??_);_(@_)</c:formatCode>
                <c:ptCount val="1"/>
                <c:pt idx="0">
                  <c:v>2963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4F5-4A8F-B7C2-FB4358E91306}"/>
            </c:ext>
          </c:extLst>
        </c:ser>
        <c:ser>
          <c:idx val="1"/>
          <c:order val="1"/>
          <c:spPr>
            <a:solidFill>
              <a:srgbClr val="D2DCFA"/>
            </a:solidFill>
            <a:ln>
              <a:noFill/>
            </a:ln>
            <a:effectLst/>
          </c:spPr>
          <c:invertIfNegative val="0"/>
          <c:val>
            <c:numRef>
              <c:f>'Budżet domowy'!$L$13</c:f>
              <c:numCache>
                <c:formatCode>_("zł"* #,##0.00_);_("zł"* \(#,##0.00\);_("zł"* "-"??_);_(@_)</c:formatCode>
                <c:ptCount val="1"/>
                <c:pt idx="0">
                  <c:v>1032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4F5-4A8F-B7C2-FB4358E913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37514096"/>
        <c:axId val="1411180992"/>
      </c:barChart>
      <c:catAx>
        <c:axId val="13375140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411180992"/>
        <c:crosses val="autoZero"/>
        <c:auto val="1"/>
        <c:lblAlgn val="ctr"/>
        <c:lblOffset val="100"/>
        <c:noMultiLvlLbl val="0"/>
      </c:catAx>
      <c:valAx>
        <c:axId val="1411180992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%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337514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5149236302143309E-2"/>
          <c:y val="6.7297559204961471E-2"/>
          <c:w val="0.69217615075164207"/>
          <c:h val="0.869610979040387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'Budżet domowy'!$E$60</c:f>
              <c:strCache>
                <c:ptCount val="1"/>
                <c:pt idx="0">
                  <c:v>2020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strRef>
              <c:f>'Budżet domowy'!$B$61:$D$70</c:f>
              <c:strCache>
                <c:ptCount val="10"/>
                <c:pt idx="0">
                  <c:v>Dom i mieszkanie</c:v>
                </c:pt>
                <c:pt idx="1">
                  <c:v>Jedzenie i napoje</c:v>
                </c:pt>
                <c:pt idx="2">
                  <c:v>Transport</c:v>
                </c:pt>
                <c:pt idx="3">
                  <c:v>Samochód</c:v>
                </c:pt>
                <c:pt idx="4">
                  <c:v>Zdrowie i Uroda</c:v>
                </c:pt>
                <c:pt idx="5">
                  <c:v>Edukacja</c:v>
                </c:pt>
                <c:pt idx="6">
                  <c:v>Rozrywka</c:v>
                </c:pt>
                <c:pt idx="7">
                  <c:v>Zakupy</c:v>
                </c:pt>
                <c:pt idx="8">
                  <c:v>Wycieczki,hotele</c:v>
                </c:pt>
                <c:pt idx="9">
                  <c:v>Komunikacja,elektronika</c:v>
                </c:pt>
              </c:strCache>
            </c:strRef>
          </c:xVal>
          <c:yVal>
            <c:numRef>
              <c:f>'Budżet domowy'!$E$61:$E$70</c:f>
              <c:numCache>
                <c:formatCode>0.0%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DE-4FC1-A5BA-31F24313F1E5}"/>
            </c:ext>
          </c:extLst>
        </c:ser>
        <c:ser>
          <c:idx val="1"/>
          <c:order val="1"/>
          <c:tx>
            <c:strRef>
              <c:f>'Budżet domowy'!$F$60</c:f>
              <c:strCache>
                <c:ptCount val="1"/>
                <c:pt idx="0">
                  <c:v>2021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strRef>
              <c:f>'Budżet domowy'!$B$61:$D$70</c:f>
              <c:strCache>
                <c:ptCount val="10"/>
                <c:pt idx="0">
                  <c:v>Dom i mieszkanie</c:v>
                </c:pt>
                <c:pt idx="1">
                  <c:v>Jedzenie i napoje</c:v>
                </c:pt>
                <c:pt idx="2">
                  <c:v>Transport</c:v>
                </c:pt>
                <c:pt idx="3">
                  <c:v>Samochód</c:v>
                </c:pt>
                <c:pt idx="4">
                  <c:v>Zdrowie i Uroda</c:v>
                </c:pt>
                <c:pt idx="5">
                  <c:v>Edukacja</c:v>
                </c:pt>
                <c:pt idx="6">
                  <c:v>Rozrywka</c:v>
                </c:pt>
                <c:pt idx="7">
                  <c:v>Zakupy</c:v>
                </c:pt>
                <c:pt idx="8">
                  <c:v>Wycieczki,hotele</c:v>
                </c:pt>
                <c:pt idx="9">
                  <c:v>Komunikacja,elektronika</c:v>
                </c:pt>
              </c:strCache>
            </c:strRef>
          </c:xVal>
          <c:yVal>
            <c:numRef>
              <c:f>'Budżet domowy'!$F$61:$F$70</c:f>
              <c:numCache>
                <c:formatCode>0.0%</c:formatCode>
                <c:ptCount val="10"/>
                <c:pt idx="0">
                  <c:v>-0.53580052493438324</c:v>
                </c:pt>
                <c:pt idx="1">
                  <c:v>-0.36421052631578948</c:v>
                </c:pt>
                <c:pt idx="2">
                  <c:v>-0.44315789473684208</c:v>
                </c:pt>
                <c:pt idx="3">
                  <c:v>-0.37330677290836656</c:v>
                </c:pt>
                <c:pt idx="4">
                  <c:v>0.57565922920892487</c:v>
                </c:pt>
                <c:pt idx="5">
                  <c:v>-0.57966396292004641</c:v>
                </c:pt>
                <c:pt idx="6">
                  <c:v>6.6079975297205426E-2</c:v>
                </c:pt>
                <c:pt idx="7">
                  <c:v>5.8989788475565325E-2</c:v>
                </c:pt>
                <c:pt idx="8">
                  <c:v>-2.9069767441860465E-3</c:v>
                </c:pt>
                <c:pt idx="9">
                  <c:v>-3.8461538461538464E-2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4DE-4FC1-A5BA-31F24313F1E5}"/>
            </c:ext>
          </c:extLst>
        </c:ser>
        <c:ser>
          <c:idx val="2"/>
          <c:order val="2"/>
          <c:tx>
            <c:strRef>
              <c:f>'Budżet domowy'!$G$60</c:f>
              <c:strCache>
                <c:ptCount val="1"/>
                <c:pt idx="0">
                  <c:v>2022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strRef>
              <c:f>'Budżet domowy'!$B$61:$D$70</c:f>
              <c:strCache>
                <c:ptCount val="10"/>
                <c:pt idx="0">
                  <c:v>Dom i mieszkanie</c:v>
                </c:pt>
                <c:pt idx="1">
                  <c:v>Jedzenie i napoje</c:v>
                </c:pt>
                <c:pt idx="2">
                  <c:v>Transport</c:v>
                </c:pt>
                <c:pt idx="3">
                  <c:v>Samochód</c:v>
                </c:pt>
                <c:pt idx="4">
                  <c:v>Zdrowie i Uroda</c:v>
                </c:pt>
                <c:pt idx="5">
                  <c:v>Edukacja</c:v>
                </c:pt>
                <c:pt idx="6">
                  <c:v>Rozrywka</c:v>
                </c:pt>
                <c:pt idx="7">
                  <c:v>Zakupy</c:v>
                </c:pt>
                <c:pt idx="8">
                  <c:v>Wycieczki,hotele</c:v>
                </c:pt>
                <c:pt idx="9">
                  <c:v>Komunikacja,elektronika</c:v>
                </c:pt>
              </c:strCache>
            </c:strRef>
          </c:xVal>
          <c:yVal>
            <c:numRef>
              <c:f>'Budżet domowy'!$G$61:$G$70</c:f>
              <c:numCache>
                <c:formatCode>0.0%</c:formatCode>
                <c:ptCount val="10"/>
                <c:pt idx="0">
                  <c:v>0.54076670813072492</c:v>
                </c:pt>
                <c:pt idx="1">
                  <c:v>0.27297185430463577</c:v>
                </c:pt>
                <c:pt idx="2">
                  <c:v>0.34026465028355385</c:v>
                </c:pt>
                <c:pt idx="3">
                  <c:v>3.6236490781945324E-2</c:v>
                </c:pt>
                <c:pt idx="4">
                  <c:v>-0.55329557157569509</c:v>
                </c:pt>
                <c:pt idx="5">
                  <c:v>-0.18676774638180565</c:v>
                </c:pt>
                <c:pt idx="6">
                  <c:v>-9.1962346125995659E-2</c:v>
                </c:pt>
                <c:pt idx="7">
                  <c:v>0.23306069737408527</c:v>
                </c:pt>
                <c:pt idx="8">
                  <c:v>-0.11253644314868805</c:v>
                </c:pt>
                <c:pt idx="9">
                  <c:v>5.5E-2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4DE-4FC1-A5BA-31F24313F1E5}"/>
            </c:ext>
          </c:extLst>
        </c:ser>
        <c:ser>
          <c:idx val="3"/>
          <c:order val="3"/>
          <c:tx>
            <c:strRef>
              <c:f>'Budżet domowy'!$H$60</c:f>
              <c:strCache>
                <c:ptCount val="1"/>
                <c:pt idx="0">
                  <c:v>2023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6">
                    <a:lumMod val="6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strRef>
              <c:f>'Budżet domowy'!$B$61:$D$70</c:f>
              <c:strCache>
                <c:ptCount val="10"/>
                <c:pt idx="0">
                  <c:v>Dom i mieszkanie</c:v>
                </c:pt>
                <c:pt idx="1">
                  <c:v>Jedzenie i napoje</c:v>
                </c:pt>
                <c:pt idx="2">
                  <c:v>Transport</c:v>
                </c:pt>
                <c:pt idx="3">
                  <c:v>Samochód</c:v>
                </c:pt>
                <c:pt idx="4">
                  <c:v>Zdrowie i Uroda</c:v>
                </c:pt>
                <c:pt idx="5">
                  <c:v>Edukacja</c:v>
                </c:pt>
                <c:pt idx="6">
                  <c:v>Rozrywka</c:v>
                </c:pt>
                <c:pt idx="7">
                  <c:v>Zakupy</c:v>
                </c:pt>
                <c:pt idx="8">
                  <c:v>Wycieczki,hotele</c:v>
                </c:pt>
                <c:pt idx="9">
                  <c:v>Komunikacja,elektronika</c:v>
                </c:pt>
              </c:strCache>
            </c:strRef>
          </c:xVal>
          <c:yVal>
            <c:numRef>
              <c:f>'Budżet domowy'!$H$61:$H$70</c:f>
              <c:numCache>
                <c:formatCode>0.0%</c:formatCode>
                <c:ptCount val="10"/>
                <c:pt idx="0">
                  <c:v>0.8262018348623853</c:v>
                </c:pt>
                <c:pt idx="1">
                  <c:v>0.72264672410990083</c:v>
                </c:pt>
                <c:pt idx="2">
                  <c:v>3.1805359661495065</c:v>
                </c:pt>
                <c:pt idx="3">
                  <c:v>1.9202453987730062</c:v>
                </c:pt>
                <c:pt idx="4">
                  <c:v>3.3769452449567723</c:v>
                </c:pt>
                <c:pt idx="5">
                  <c:v>3.093220338983051</c:v>
                </c:pt>
                <c:pt idx="6">
                  <c:v>1.872408293460925</c:v>
                </c:pt>
                <c:pt idx="7">
                  <c:v>1.0152213378019828</c:v>
                </c:pt>
                <c:pt idx="8">
                  <c:v>0.68692509855453354</c:v>
                </c:pt>
                <c:pt idx="9">
                  <c:v>1.971563981042654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4DE-4FC1-A5BA-31F24313F1E5}"/>
            </c:ext>
          </c:extLst>
        </c:ser>
        <c:ser>
          <c:idx val="4"/>
          <c:order val="4"/>
          <c:tx>
            <c:strRef>
              <c:f>'Budżet domowy'!$I$60</c:f>
              <c:strCache>
                <c:ptCount val="1"/>
                <c:pt idx="0">
                  <c:v>2024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strRef>
              <c:f>'Budżet domowy'!$B$61:$D$70</c:f>
              <c:strCache>
                <c:ptCount val="10"/>
                <c:pt idx="0">
                  <c:v>Dom i mieszkanie</c:v>
                </c:pt>
                <c:pt idx="1">
                  <c:v>Jedzenie i napoje</c:v>
                </c:pt>
                <c:pt idx="2">
                  <c:v>Transport</c:v>
                </c:pt>
                <c:pt idx="3">
                  <c:v>Samochód</c:v>
                </c:pt>
                <c:pt idx="4">
                  <c:v>Zdrowie i Uroda</c:v>
                </c:pt>
                <c:pt idx="5">
                  <c:v>Edukacja</c:v>
                </c:pt>
                <c:pt idx="6">
                  <c:v>Rozrywka</c:v>
                </c:pt>
                <c:pt idx="7">
                  <c:v>Zakupy</c:v>
                </c:pt>
                <c:pt idx="8">
                  <c:v>Wycieczki,hotele</c:v>
                </c:pt>
                <c:pt idx="9">
                  <c:v>Komunikacja,elektronika</c:v>
                </c:pt>
              </c:strCache>
            </c:strRef>
          </c:xVal>
          <c:yVal>
            <c:numRef>
              <c:f>'Budżet domowy'!$I$61:$I$70</c:f>
              <c:numCache>
                <c:formatCode>0.0%</c:formatCode>
                <c:ptCount val="10"/>
                <c:pt idx="0">
                  <c:v>-0.81954826782412993</c:v>
                </c:pt>
                <c:pt idx="1">
                  <c:v>-0.83012457531143824</c:v>
                </c:pt>
                <c:pt idx="2">
                  <c:v>-0.958502024291498</c:v>
                </c:pt>
                <c:pt idx="3">
                  <c:v>-1.0957983193277312</c:v>
                </c:pt>
                <c:pt idx="4">
                  <c:v>-1</c:v>
                </c:pt>
                <c:pt idx="5">
                  <c:v>-0.96997929606625255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6E0-4520-B746-96729F8CA4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6505695"/>
        <c:axId val="798037951"/>
      </c:scatterChart>
      <c:valAx>
        <c:axId val="7465056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accent2"/>
            </a:solidFill>
            <a:prstDash val="solid"/>
            <a:miter lim="800000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798037951"/>
        <c:crosses val="autoZero"/>
        <c:crossBetween val="midCat"/>
      </c:valAx>
      <c:valAx>
        <c:axId val="798037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7465056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876777391542543"/>
          <c:y val="0.22136011636316358"/>
          <c:w val="0.18123234595675541"/>
          <c:h val="0.644908972365715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9050" cap="flat" cmpd="sng" algn="ctr">
      <a:solidFill>
        <a:srgbClr val="B7C1E0"/>
      </a:solidFill>
      <a:prstDash val="solid"/>
      <a:round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2000" b="1" i="0" u="none" strike="noStrike" kern="1200" baseline="0">
                <a:solidFill>
                  <a:schemeClr val="accent3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sz="2000">
                <a:solidFill>
                  <a:schemeClr val="accent3">
                    <a:lumMod val="50000"/>
                  </a:schemeClr>
                </a:solidFill>
              </a:rPr>
              <a:t>Przychód według kategorii</a:t>
            </a:r>
          </a:p>
        </c:rich>
      </c:tx>
      <c:layout>
        <c:manualLayout>
          <c:xMode val="edge"/>
          <c:yMode val="edge"/>
          <c:x val="0.18553363790070138"/>
          <c:y val="5.32407962279051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2000" b="1" i="0" u="none" strike="noStrike" kern="1200" baseline="0">
              <a:solidFill>
                <a:schemeClr val="accent3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4.7332783829822068E-2"/>
          <c:y val="9.8805100689847394E-2"/>
          <c:w val="0.77048101301205241"/>
          <c:h val="0.86048396162869023"/>
        </c:manualLayout>
      </c:layout>
      <c:doughnutChart>
        <c:varyColors val="1"/>
        <c:ser>
          <c:idx val="0"/>
          <c:order val="0"/>
          <c:explosion val="12"/>
          <c:dPt>
            <c:idx val="0"/>
            <c:bubble3D val="0"/>
            <c:explosion val="0"/>
            <c:spPr>
              <a:solidFill>
                <a:schemeClr val="accent5">
                  <a:tint val="5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D93-4950-925B-3C2087F4CFC3}"/>
              </c:ext>
            </c:extLst>
          </c:dPt>
          <c:dPt>
            <c:idx val="1"/>
            <c:bubble3D val="0"/>
            <c:explosion val="0"/>
            <c:spPr>
              <a:solidFill>
                <a:schemeClr val="accent5">
                  <a:tint val="7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D93-4950-925B-3C2087F4CFC3}"/>
              </c:ext>
            </c:extLst>
          </c:dPt>
          <c:dPt>
            <c:idx val="2"/>
            <c:bubble3D val="0"/>
            <c:spPr>
              <a:solidFill>
                <a:schemeClr val="accent5">
                  <a:tint val="9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D93-4950-925B-3C2087F4CFC3}"/>
              </c:ext>
            </c:extLst>
          </c:dPt>
          <c:dPt>
            <c:idx val="3"/>
            <c:bubble3D val="0"/>
            <c:explosion val="0"/>
            <c:spPr>
              <a:solidFill>
                <a:schemeClr val="accent5">
                  <a:shade val="9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AD93-4950-925B-3C2087F4CFC3}"/>
              </c:ext>
            </c:extLst>
          </c:dPt>
          <c:dPt>
            <c:idx val="4"/>
            <c:bubble3D val="0"/>
            <c:explosion val="0"/>
            <c:spPr>
              <a:solidFill>
                <a:schemeClr val="accent5">
                  <a:shade val="7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AD93-4950-925B-3C2087F4CFC3}"/>
              </c:ext>
            </c:extLst>
          </c:dPt>
          <c:dPt>
            <c:idx val="5"/>
            <c:bubble3D val="0"/>
            <c:explosion val="0"/>
            <c:spPr>
              <a:solidFill>
                <a:schemeClr val="accent5">
                  <a:shade val="5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AD93-4950-925B-3C2087F4CFC3}"/>
              </c:ext>
            </c:extLst>
          </c:dPt>
          <c:dLbls>
            <c:spPr>
              <a:noFill/>
              <a:ln w="9525">
                <a:noFill/>
              </a:ln>
              <a:effectLst/>
            </c:spPr>
            <c:txPr>
              <a:bodyPr rot="0" spcFirstLastPara="1" vertOverflow="overflow" horzOverflow="overflow" vert="horz" wrap="non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'Budżet domowy'!$X$78:$X$83</c:f>
              <c:strCache>
                <c:ptCount val="6"/>
                <c:pt idx="0">
                  <c:v>Wynagrodzenie, faktury</c:v>
                </c:pt>
                <c:pt idx="1">
                  <c:v>Odsetki, dywidendy</c:v>
                </c:pt>
                <c:pt idx="2">
                  <c:v>Prezenty</c:v>
                </c:pt>
                <c:pt idx="3">
                  <c:v>Sprzedaż</c:v>
                </c:pt>
                <c:pt idx="4">
                  <c:v>Datki na dziecko</c:v>
                </c:pt>
                <c:pt idx="5">
                  <c:v>Opłaty i dotacje</c:v>
                </c:pt>
              </c:strCache>
            </c:strRef>
          </c:cat>
          <c:val>
            <c:numRef>
              <c:f>'Budżet domowy'!$Y$78:$Y$83</c:f>
              <c:numCache>
                <c:formatCode>General</c:formatCode>
                <c:ptCount val="6"/>
                <c:pt idx="0">
                  <c:v>#N/A</c:v>
                </c:pt>
                <c:pt idx="1">
                  <c:v>45</c:v>
                </c:pt>
                <c:pt idx="2">
                  <c:v>#N/A</c:v>
                </c:pt>
                <c:pt idx="3">
                  <c:v>100</c:v>
                </c:pt>
                <c:pt idx="4">
                  <c:v>350</c:v>
                </c:pt>
                <c:pt idx="5">
                  <c:v>3500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D93-4950-925B-3C2087F4CFC3}"/>
            </c:ext>
          </c:extLst>
        </c:ser>
        <c:dLbls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9349994294191494E-3"/>
          <c:y val="4.9653793275840517E-3"/>
          <c:w val="0.98650940507436569"/>
          <c:h val="0.9950340690172349"/>
        </c:manualLayout>
      </c:layout>
      <c:barChart>
        <c:barDir val="bar"/>
        <c:grouping val="percentStacked"/>
        <c:varyColors val="0"/>
        <c:ser>
          <c:idx val="0"/>
          <c:order val="0"/>
          <c:spPr>
            <a:solidFill>
              <a:srgbClr val="6883C6"/>
            </a:solidFill>
            <a:ln>
              <a:noFill/>
            </a:ln>
            <a:effectLst/>
          </c:spPr>
          <c:invertIfNegative val="0"/>
          <c:val>
            <c:numRef>
              <c:f>'Budżet domowy'!$T$26</c:f>
              <c:numCache>
                <c:formatCode>_("zł"* #,##0.00_);_("zł"* \(#,##0.00\);_("zł"* "-"??_);_(@_)</c:formatCode>
                <c:ptCount val="1"/>
                <c:pt idx="0">
                  <c:v>2963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89-4373-9C45-5FAA309F103B}"/>
            </c:ext>
          </c:extLst>
        </c:ser>
        <c:ser>
          <c:idx val="1"/>
          <c:order val="1"/>
          <c:spPr>
            <a:solidFill>
              <a:srgbClr val="D2DCFA"/>
            </a:solidFill>
            <a:ln>
              <a:noFill/>
            </a:ln>
            <a:effectLst/>
          </c:spPr>
          <c:invertIfNegative val="0"/>
          <c:val>
            <c:numRef>
              <c:f>'Budżet domowy'!$L$13</c:f>
              <c:numCache>
                <c:formatCode>_("zł"* #,##0.00_);_("zł"* \(#,##0.00\);_("zł"* "-"??_);_(@_)</c:formatCode>
                <c:ptCount val="1"/>
                <c:pt idx="0">
                  <c:v>1032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89-4373-9C45-5FAA309F1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37514096"/>
        <c:axId val="1411180992"/>
      </c:barChart>
      <c:catAx>
        <c:axId val="13375140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411180992"/>
        <c:crosses val="autoZero"/>
        <c:auto val="1"/>
        <c:lblAlgn val="ctr"/>
        <c:lblOffset val="100"/>
        <c:noMultiLvlLbl val="0"/>
      </c:catAx>
      <c:valAx>
        <c:axId val="1411180992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%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337514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Przychód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'Budżet domowy'!$E$114:$P$114</c:f>
              <c:numCache>
                <c:formatCode>0.00</c:formatCode>
                <c:ptCount val="12"/>
                <c:pt idx="0">
                  <c:v>1640.05</c:v>
                </c:pt>
                <c:pt idx="1">
                  <c:v>867</c:v>
                </c:pt>
                <c:pt idx="2">
                  <c:v>2426.4499999999998</c:v>
                </c:pt>
                <c:pt idx="3">
                  <c:v>1313.2</c:v>
                </c:pt>
                <c:pt idx="4">
                  <c:v>1105.8</c:v>
                </c:pt>
                <c:pt idx="5">
                  <c:v>1270.8</c:v>
                </c:pt>
                <c:pt idx="6">
                  <c:v>2281.25</c:v>
                </c:pt>
                <c:pt idx="7">
                  <c:v>992.75</c:v>
                </c:pt>
                <c:pt idx="8">
                  <c:v>1098.4000000000001</c:v>
                </c:pt>
                <c:pt idx="9">
                  <c:v>743</c:v>
                </c:pt>
                <c:pt idx="10">
                  <c:v>737.6</c:v>
                </c:pt>
                <c:pt idx="11">
                  <c:v>1765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36-4333-AC2A-A4609A88D3F6}"/>
            </c:ext>
          </c:extLst>
        </c:ser>
        <c:ser>
          <c:idx val="1"/>
          <c:order val="1"/>
          <c:tx>
            <c:v>Wydatek</c:v>
          </c:tx>
          <c:spPr>
            <a:ln w="28575" cap="rnd">
              <a:solidFill>
                <a:srgbClr val="33CC33"/>
              </a:solidFill>
              <a:round/>
            </a:ln>
            <a:effectLst/>
          </c:spPr>
          <c:marker>
            <c:symbol val="none"/>
          </c:marker>
          <c:val>
            <c:numRef>
              <c:f>'Budżet domowy'!$E$115:$P$115</c:f>
              <c:numCache>
                <c:formatCode>0.00</c:formatCode>
                <c:ptCount val="12"/>
                <c:pt idx="0">
                  <c:v>120</c:v>
                </c:pt>
                <c:pt idx="1">
                  <c:v>240</c:v>
                </c:pt>
                <c:pt idx="2">
                  <c:v>2200</c:v>
                </c:pt>
                <c:pt idx="3">
                  <c:v>4400</c:v>
                </c:pt>
                <c:pt idx="4">
                  <c:v>0</c:v>
                </c:pt>
                <c:pt idx="5">
                  <c:v>5500</c:v>
                </c:pt>
                <c:pt idx="6">
                  <c:v>5800</c:v>
                </c:pt>
                <c:pt idx="7">
                  <c:v>6000</c:v>
                </c:pt>
                <c:pt idx="8">
                  <c:v>1600</c:v>
                </c:pt>
                <c:pt idx="9">
                  <c:v>1700</c:v>
                </c:pt>
                <c:pt idx="10">
                  <c:v>450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36-4333-AC2A-A4609A88D3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73416912"/>
        <c:axId val="23092335"/>
      </c:lineChart>
      <c:catAx>
        <c:axId val="2073416912"/>
        <c:scaling>
          <c:orientation val="minMax"/>
        </c:scaling>
        <c:delete val="1"/>
        <c:axPos val="b"/>
        <c:numFmt formatCode="@" sourceLinked="1"/>
        <c:majorTickMark val="none"/>
        <c:minorTickMark val="none"/>
        <c:tickLblPos val="nextTo"/>
        <c:crossAx val="23092335"/>
        <c:crosses val="autoZero"/>
        <c:auto val="1"/>
        <c:lblAlgn val="ctr"/>
        <c:lblOffset val="100"/>
        <c:tickMarkSkip val="1"/>
        <c:noMultiLvlLbl val="0"/>
      </c:catAx>
      <c:valAx>
        <c:axId val="23092335"/>
        <c:scaling>
          <c:orientation val="minMax"/>
        </c:scaling>
        <c:delete val="1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2073416912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_xlchart.v1.1</cx:f>
      </cx:numDim>
    </cx:data>
  </cx:chartData>
  <cx:chart>
    <cx:plotArea>
      <cx:plotAreaRegion>
        <cx:series layoutId="treemap" uniqueId="{F90273AA-B8A4-45E4-8441-1821F0ADB088}">
          <cx:dataLabels pos="inEnd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200" b="1">
                    <a:effectLst/>
                  </a:defRPr>
                </a:pPr>
                <a:endParaRPr lang="pl-PL" sz="1200" b="1" i="0" u="none" strike="noStrike" baseline="0">
                  <a:solidFill>
                    <a:sysClr val="window" lastClr="FFFFFF"/>
                  </a:solidFill>
                  <a:effectLst/>
                  <a:latin typeface="Calibri" panose="020F0502020204030204"/>
                </a:endParaRPr>
              </a:p>
            </cx:txPr>
            <cx:visibility seriesName="0" categoryName="1" value="0"/>
          </cx:dataLabels>
          <cx:dataId val="0"/>
          <cx:layoutPr>
            <cx:parentLabelLayout val="overlapping"/>
          </cx:layoutPr>
        </cx:series>
      </cx:plotAreaRegion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</cx:f>
      </cx:strDim>
      <cx:numDim type="size">
        <cx:f>_xlchart.v1.3</cx:f>
      </cx:numDim>
    </cx:data>
  </cx:chartData>
  <cx:chart>
    <cx:plotArea>
      <cx:plotAreaRegion>
        <cx:series layoutId="treemap" uniqueId="{F90273AA-B8A4-45E4-8441-1821F0ADB088}">
          <cx:dataLabels pos="inEnd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200" b="1">
                    <a:effectLst/>
                  </a:defRPr>
                </a:pPr>
                <a:endParaRPr lang="pl-PL" sz="1200" b="1" i="0" u="none" strike="noStrike" baseline="0">
                  <a:solidFill>
                    <a:sysClr val="window" lastClr="FFFFFF"/>
                  </a:solidFill>
                  <a:effectLst/>
                  <a:latin typeface="Calibri" panose="020F0502020204030204"/>
                </a:endParaRPr>
              </a:p>
            </cx:txPr>
            <cx:visibility seriesName="0" categoryName="1" value="0"/>
          </cx:dataLabels>
          <cx:dataId val="0"/>
          <cx:layoutPr>
            <cx:parentLabelLayout val="overlapping"/>
          </cx:layoutPr>
        </cx:series>
      </cx:plotAreaRegion>
    </cx:plotArea>
  </cx:chart>
  <cx:clrMapOvr bg1="lt1" tx1="dk1" bg2="lt2" tx2="dk2" accent1="accent1" accent2="accent2" accent3="accent3" accent4="accent4" accent5="accent5" accent6="accent6" hlink="hlink" folHlink="folHlink"/>
</cx:chartSpace>
</file>

<file path=xl/charts/colors1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microsoft.com/office/2014/relationships/chartEx" Target="../charts/chartEx1.xml"/><Relationship Id="rId18" Type="http://schemas.openxmlformats.org/officeDocument/2006/relationships/image" Target="../media/image14.png"/><Relationship Id="rId3" Type="http://schemas.openxmlformats.org/officeDocument/2006/relationships/image" Target="../media/image3.png"/><Relationship Id="rId21" Type="http://schemas.openxmlformats.org/officeDocument/2006/relationships/chart" Target="../charts/chart4.xml"/><Relationship Id="rId7" Type="http://schemas.openxmlformats.org/officeDocument/2006/relationships/image" Target="../media/image7.png"/><Relationship Id="rId12" Type="http://schemas.openxmlformats.org/officeDocument/2006/relationships/chart" Target="../charts/chart2.xml"/><Relationship Id="rId17" Type="http://schemas.openxmlformats.org/officeDocument/2006/relationships/image" Target="../media/image13.png"/><Relationship Id="rId2" Type="http://schemas.openxmlformats.org/officeDocument/2006/relationships/image" Target="../media/image2.png"/><Relationship Id="rId16" Type="http://schemas.openxmlformats.org/officeDocument/2006/relationships/image" Target="../media/image12.png"/><Relationship Id="rId20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chart" Target="../charts/chart1.xml"/><Relationship Id="rId24" Type="http://schemas.openxmlformats.org/officeDocument/2006/relationships/chart" Target="../charts/chart6.xml"/><Relationship Id="rId5" Type="http://schemas.openxmlformats.org/officeDocument/2006/relationships/image" Target="../media/image5.png"/><Relationship Id="rId15" Type="http://schemas.openxmlformats.org/officeDocument/2006/relationships/image" Target="../media/image11.png"/><Relationship Id="rId23" Type="http://schemas.microsoft.com/office/2014/relationships/chartEx" Target="../charts/chartEx2.xml"/><Relationship Id="rId10" Type="http://schemas.openxmlformats.org/officeDocument/2006/relationships/image" Target="../media/image10.png"/><Relationship Id="rId19" Type="http://schemas.openxmlformats.org/officeDocument/2006/relationships/image" Target="../media/image1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chart" Target="../charts/chart3.xml"/><Relationship Id="rId22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130973</xdr:colOff>
      <xdr:row>14</xdr:row>
      <xdr:rowOff>38100</xdr:rowOff>
    </xdr:from>
    <xdr:to>
      <xdr:col>14</xdr:col>
      <xdr:colOff>0</xdr:colOff>
      <xdr:row>28</xdr:row>
      <xdr:rowOff>123824</xdr:rowOff>
    </xdr:to>
    <xdr:grpSp>
      <xdr:nvGrpSpPr>
        <xdr:cNvPr id="4" name="Grupa 3">
          <a:extLst>
            <a:ext uri="{FF2B5EF4-FFF2-40B4-BE49-F238E27FC236}">
              <a16:creationId xmlns:a16="http://schemas.microsoft.com/office/drawing/2014/main" id="{835289C4-2C14-9AB4-FBFF-A3431790DD5F}"/>
            </a:ext>
          </a:extLst>
        </xdr:cNvPr>
        <xdr:cNvGrpSpPr/>
      </xdr:nvGrpSpPr>
      <xdr:grpSpPr>
        <a:xfrm>
          <a:off x="6331748" y="3162300"/>
          <a:ext cx="5907877" cy="3571874"/>
          <a:chOff x="6798473" y="2524125"/>
          <a:chExt cx="5462308" cy="3130091"/>
        </a:xfrm>
      </xdr:grpSpPr>
      <xdr:pic>
        <xdr:nvPicPr>
          <xdr:cNvPr id="3" name="Obraz 2">
            <a:extLst>
              <a:ext uri="{FF2B5EF4-FFF2-40B4-BE49-F238E27FC236}">
                <a16:creationId xmlns:a16="http://schemas.microsoft.com/office/drawing/2014/main" id="{7FB503AD-840A-F445-D682-E17DCACF2D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279832" y="2524125"/>
            <a:ext cx="593940" cy="594739"/>
          </a:xfrm>
          <a:prstGeom prst="rect">
            <a:avLst/>
          </a:prstGeom>
          <a:effectLst>
            <a:outerShdw blurRad="38100" dist="12700" dir="2700000" algn="tl" rotWithShape="0">
              <a:prstClr val="black">
                <a:alpha val="40000"/>
              </a:prstClr>
            </a:outerShdw>
          </a:effectLst>
        </xdr:spPr>
      </xdr:pic>
      <xdr:pic>
        <xdr:nvPicPr>
          <xdr:cNvPr id="5" name="Obraz 4">
            <a:extLst>
              <a:ext uri="{FF2B5EF4-FFF2-40B4-BE49-F238E27FC236}">
                <a16:creationId xmlns:a16="http://schemas.microsoft.com/office/drawing/2014/main" id="{CD75AFDE-33A1-1FEB-D2C8-6804DCA628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39931" y="2532325"/>
            <a:ext cx="577562" cy="578339"/>
          </a:xfrm>
          <a:prstGeom prst="rect">
            <a:avLst/>
          </a:prstGeom>
          <a:effectLst>
            <a:outerShdw blurRad="38100" dist="12700" dir="2700000" algn="tl" rotWithShape="0">
              <a:prstClr val="black">
                <a:alpha val="40000"/>
              </a:prstClr>
            </a:outerShdw>
          </a:effectLst>
        </xdr:spPr>
      </xdr:pic>
      <xdr:pic>
        <xdr:nvPicPr>
          <xdr:cNvPr id="7" name="Obraz 6">
            <a:extLst>
              <a:ext uri="{FF2B5EF4-FFF2-40B4-BE49-F238E27FC236}">
                <a16:creationId xmlns:a16="http://schemas.microsoft.com/office/drawing/2014/main" id="{EDC6C11B-22FC-1310-FFF5-221636E245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091057" y="4256461"/>
            <a:ext cx="572138" cy="572908"/>
          </a:xfrm>
          <a:prstGeom prst="rect">
            <a:avLst/>
          </a:prstGeom>
          <a:effectLst>
            <a:outerShdw blurRad="38100" dist="12700" dir="2700000" algn="tl" rotWithShape="0">
              <a:prstClr val="black">
                <a:alpha val="40000"/>
              </a:prstClr>
            </a:outerShdw>
          </a:effectLst>
        </xdr:spPr>
      </xdr:pic>
      <xdr:pic>
        <xdr:nvPicPr>
          <xdr:cNvPr id="9" name="Obraz 8">
            <a:extLst>
              <a:ext uri="{FF2B5EF4-FFF2-40B4-BE49-F238E27FC236}">
                <a16:creationId xmlns:a16="http://schemas.microsoft.com/office/drawing/2014/main" id="{EB17C1A6-AC5A-3549-6E97-B81BFBEB28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399125" y="2538112"/>
            <a:ext cx="566003" cy="566765"/>
          </a:xfrm>
          <a:prstGeom prst="rect">
            <a:avLst/>
          </a:prstGeom>
          <a:effectLst>
            <a:outerShdw blurRad="38100" dist="12700" dir="2700000" algn="tl" rotWithShape="0">
              <a:prstClr val="black">
                <a:alpha val="40000"/>
              </a:prstClr>
            </a:outerShdw>
          </a:effectLst>
        </xdr:spPr>
      </xdr:pic>
      <xdr:pic>
        <xdr:nvPicPr>
          <xdr:cNvPr id="11" name="Obraz 10">
            <a:extLst>
              <a:ext uri="{FF2B5EF4-FFF2-40B4-BE49-F238E27FC236}">
                <a16:creationId xmlns:a16="http://schemas.microsoft.com/office/drawing/2014/main" id="{E70AE002-63F1-ADA2-E4CA-F5135B5B617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139060" y="2573572"/>
            <a:ext cx="495179" cy="495845"/>
          </a:xfrm>
          <a:prstGeom prst="rect">
            <a:avLst/>
          </a:prstGeom>
          <a:effectLst>
            <a:outerShdw blurRad="38100" dist="12700" dir="2700000" algn="tl" rotWithShape="0">
              <a:prstClr val="black">
                <a:alpha val="40000"/>
              </a:prstClr>
            </a:outerShdw>
          </a:effectLst>
        </xdr:spPr>
      </xdr:pic>
      <xdr:pic>
        <xdr:nvPicPr>
          <xdr:cNvPr id="13" name="Obraz 12">
            <a:extLst>
              <a:ext uri="{FF2B5EF4-FFF2-40B4-BE49-F238E27FC236}">
                <a16:creationId xmlns:a16="http://schemas.microsoft.com/office/drawing/2014/main" id="{BEB8DF88-D2AF-2AF1-CFD9-4DA393E0CF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393891" y="4254292"/>
            <a:ext cx="576471" cy="577246"/>
          </a:xfrm>
          <a:prstGeom prst="rect">
            <a:avLst/>
          </a:prstGeom>
          <a:effectLst>
            <a:outerShdw blurRad="38100" dist="12700" dir="2700000" algn="tl" rotWithShape="0">
              <a:prstClr val="black">
                <a:alpha val="40000"/>
              </a:prstClr>
            </a:outerShdw>
          </a:effectLst>
        </xdr:spPr>
      </xdr:pic>
      <xdr:pic>
        <xdr:nvPicPr>
          <xdr:cNvPr id="15" name="Obraz 14">
            <a:extLst>
              <a:ext uri="{FF2B5EF4-FFF2-40B4-BE49-F238E27FC236}">
                <a16:creationId xmlns:a16="http://schemas.microsoft.com/office/drawing/2014/main" id="{196C1495-04A9-94FE-40AA-CD3C64E9CE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41332" y="4255148"/>
            <a:ext cx="574761" cy="575534"/>
          </a:xfrm>
          <a:prstGeom prst="rect">
            <a:avLst/>
          </a:prstGeom>
          <a:effectLst>
            <a:outerShdw blurRad="38100" dist="12700" dir="2700000" algn="tl" rotWithShape="0">
              <a:prstClr val="black">
                <a:alpha val="40000"/>
              </a:prstClr>
            </a:outerShdw>
          </a:effectLst>
        </xdr:spPr>
      </xdr:pic>
      <xdr:pic>
        <xdr:nvPicPr>
          <xdr:cNvPr id="17" name="Obraz 16">
            <a:extLst>
              <a:ext uri="{FF2B5EF4-FFF2-40B4-BE49-F238E27FC236}">
                <a16:creationId xmlns:a16="http://schemas.microsoft.com/office/drawing/2014/main" id="{93FC1459-79EF-CBBF-49D8-DA48934D18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243962" y="2573572"/>
            <a:ext cx="495179" cy="495845"/>
          </a:xfrm>
          <a:prstGeom prst="rect">
            <a:avLst/>
          </a:prstGeom>
          <a:effectLst>
            <a:outerShdw blurRad="38100" dist="12700" dir="2700000" algn="tl" rotWithShape="0">
              <a:prstClr val="black">
                <a:alpha val="40000"/>
              </a:prstClr>
            </a:outerShdw>
          </a:effectLst>
        </xdr:spPr>
      </xdr:pic>
      <xdr:pic>
        <xdr:nvPicPr>
          <xdr:cNvPr id="19" name="Obraz 18">
            <a:extLst>
              <a:ext uri="{FF2B5EF4-FFF2-40B4-BE49-F238E27FC236}">
                <a16:creationId xmlns:a16="http://schemas.microsoft.com/office/drawing/2014/main" id="{A99A9EF3-0F1F-EED0-F353-E9E5A8C23FF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260731" y="4294993"/>
            <a:ext cx="495179" cy="495845"/>
          </a:xfrm>
          <a:prstGeom prst="rect">
            <a:avLst/>
          </a:prstGeom>
          <a:effectLst>
            <a:outerShdw blurRad="38100" dist="12700" dir="2700000" algn="tl" rotWithShape="0">
              <a:prstClr val="black">
                <a:alpha val="40000"/>
              </a:prstClr>
            </a:outerShdw>
          </a:effectLst>
        </xdr:spPr>
      </xdr:pic>
      <xdr:pic>
        <xdr:nvPicPr>
          <xdr:cNvPr id="21" name="Obraz 20">
            <a:extLst>
              <a:ext uri="{FF2B5EF4-FFF2-40B4-BE49-F238E27FC236}">
                <a16:creationId xmlns:a16="http://schemas.microsoft.com/office/drawing/2014/main" id="{76418D2C-12B6-69DA-5C11-083453D1F47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172772" y="4252921"/>
            <a:ext cx="579209" cy="579988"/>
          </a:xfrm>
          <a:prstGeom prst="rect">
            <a:avLst/>
          </a:prstGeom>
          <a:effectLst>
            <a:outerShdw blurRad="38100" dist="12700" dir="2700000" algn="tl" rotWithShape="0">
              <a:prstClr val="black">
                <a:alpha val="40000"/>
              </a:prstClr>
            </a:outerShdw>
          </a:effectLst>
        </xdr:spPr>
      </xdr:pic>
      <xdr:sp macro="" textlink="$T$16">
        <xdr:nvSpPr>
          <xdr:cNvPr id="22" name="pole tekstowe 21">
            <a:extLst>
              <a:ext uri="{FF2B5EF4-FFF2-40B4-BE49-F238E27FC236}">
                <a16:creationId xmlns:a16="http://schemas.microsoft.com/office/drawing/2014/main" id="{4F29C246-ED30-887B-0E1C-F70D9F339825}"/>
              </a:ext>
            </a:extLst>
          </xdr:cNvPr>
          <xdr:cNvSpPr txBox="1"/>
        </xdr:nvSpPr>
        <xdr:spPr>
          <a:xfrm>
            <a:off x="6901890" y="3295799"/>
            <a:ext cx="969519" cy="34984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A045255F-710B-467A-B57F-218D8592C99D}" type="TxLink">
              <a:rPr lang="en-US" sz="1300" b="1" i="0" u="none" strike="noStrike">
                <a:solidFill>
                  <a:srgbClr val="000000"/>
                </a:solidFill>
                <a:effectLst>
                  <a:outerShdw blurRad="38100" dist="12700" dir="2700000" algn="tl" rotWithShape="0">
                    <a:prstClr val="black">
                      <a:alpha val="40000"/>
                    </a:prstClr>
                  </a:outerShdw>
                </a:effectLst>
                <a:latin typeface="Calibri"/>
                <a:ea typeface="Calibri"/>
                <a:cs typeface="Calibri"/>
              </a:rPr>
              <a:pPr algn="ctr"/>
              <a:t> 2 245,00 zł </a:t>
            </a:fld>
            <a:endParaRPr lang="pl-PL" sz="1300" b="1">
              <a:effectLst>
                <a:outerShdw blurRad="38100" dist="12700" dir="2700000" algn="tl" rotWithShape="0">
                  <a:prstClr val="black">
                    <a:alpha val="40000"/>
                  </a:prstClr>
                </a:outerShdw>
              </a:effectLst>
            </a:endParaRPr>
          </a:p>
        </xdr:txBody>
      </xdr:sp>
      <xdr:sp macro="" textlink="$T$17">
        <xdr:nvSpPr>
          <xdr:cNvPr id="23" name="pole tekstowe 22">
            <a:extLst>
              <a:ext uri="{FF2B5EF4-FFF2-40B4-BE49-F238E27FC236}">
                <a16:creationId xmlns:a16="http://schemas.microsoft.com/office/drawing/2014/main" id="{0DB75509-47FF-4912-AD9E-C9EF2FB12555}"/>
              </a:ext>
            </a:extLst>
          </xdr:cNvPr>
          <xdr:cNvSpPr txBox="1"/>
        </xdr:nvSpPr>
        <xdr:spPr>
          <a:xfrm>
            <a:off x="8006792" y="3295799"/>
            <a:ext cx="969519" cy="34984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3274ABA1-FF55-424E-81B1-492511E5B046}" type="TxLink">
              <a:rPr lang="en-US" sz="1300" b="1" i="0" u="none" strike="noStrike">
                <a:solidFill>
                  <a:srgbClr val="000000"/>
                </a:solidFill>
                <a:effectLst>
                  <a:outerShdw blurRad="38100" dist="12700" dir="2700000" algn="tl" rotWithShape="0">
                    <a:prstClr val="black">
                      <a:alpha val="40000"/>
                    </a:prstClr>
                  </a:outerShdw>
                </a:effectLst>
                <a:latin typeface="Calibri"/>
                <a:ea typeface="Calibri"/>
                <a:cs typeface="Calibri"/>
              </a:rPr>
              <a:pPr algn="ctr"/>
              <a:t> 450,00 zł </a:t>
            </a:fld>
            <a:endParaRPr lang="pl-PL" sz="1300" b="1">
              <a:effectLst>
                <a:outerShdw blurRad="38100" dist="12700" dir="2700000" algn="tl" rotWithShape="0">
                  <a:prstClr val="black">
                    <a:alpha val="40000"/>
                  </a:prstClr>
                </a:outerShdw>
              </a:effectLst>
            </a:endParaRPr>
          </a:p>
        </xdr:txBody>
      </xdr:sp>
      <xdr:sp macro="" textlink="$T$18">
        <xdr:nvSpPr>
          <xdr:cNvPr id="24" name="pole tekstowe 23">
            <a:extLst>
              <a:ext uri="{FF2B5EF4-FFF2-40B4-BE49-F238E27FC236}">
                <a16:creationId xmlns:a16="http://schemas.microsoft.com/office/drawing/2014/main" id="{BC21DAC8-A09F-4AB4-A7D0-A422EBE7E8D9}"/>
              </a:ext>
            </a:extLst>
          </xdr:cNvPr>
          <xdr:cNvSpPr txBox="1"/>
        </xdr:nvSpPr>
        <xdr:spPr>
          <a:xfrm>
            <a:off x="9092043" y="3295799"/>
            <a:ext cx="969519" cy="34984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D1BA3F24-B1F5-46C5-ADD4-45B498CE29F5}" type="TxLink">
              <a:rPr lang="en-US" sz="1300" b="1" i="0" u="none" strike="noStrike">
                <a:solidFill>
                  <a:srgbClr val="000000"/>
                </a:solidFill>
                <a:effectLst>
                  <a:outerShdw blurRad="38100" dist="12700" dir="2700000" algn="tl" rotWithShape="0">
                    <a:prstClr val="black">
                      <a:alpha val="40000"/>
                    </a:prstClr>
                  </a:outerShdw>
                </a:effectLst>
                <a:latin typeface="Calibri"/>
                <a:ea typeface="Calibri"/>
                <a:cs typeface="Calibri"/>
              </a:rPr>
              <a:pPr algn="ctr"/>
              <a:t> 123,00 zł </a:t>
            </a:fld>
            <a:endParaRPr lang="pl-PL" sz="1300" b="1">
              <a:effectLst>
                <a:outerShdw blurRad="38100" dist="12700" dir="2700000" algn="tl" rotWithShape="0">
                  <a:prstClr val="black">
                    <a:alpha val="40000"/>
                  </a:prstClr>
                </a:outerShdw>
              </a:effectLst>
            </a:endParaRPr>
          </a:p>
        </xdr:txBody>
      </xdr:sp>
      <xdr:sp macro="" textlink="$T$19">
        <xdr:nvSpPr>
          <xdr:cNvPr id="25" name="pole tekstowe 24">
            <a:extLst>
              <a:ext uri="{FF2B5EF4-FFF2-40B4-BE49-F238E27FC236}">
                <a16:creationId xmlns:a16="http://schemas.microsoft.com/office/drawing/2014/main" id="{D256FCD1-AE71-4957-A88A-237278D37E4D}"/>
              </a:ext>
            </a:extLst>
          </xdr:cNvPr>
          <xdr:cNvSpPr txBox="1"/>
        </xdr:nvSpPr>
        <xdr:spPr>
          <a:xfrm>
            <a:off x="10143953" y="3295799"/>
            <a:ext cx="969519" cy="34984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E193738E-96F9-4F86-A85E-015BB41A4896}" type="TxLink">
              <a:rPr lang="en-US" sz="1300" b="1" i="0" u="none" strike="noStrike">
                <a:solidFill>
                  <a:srgbClr val="000000"/>
                </a:solidFill>
                <a:effectLst>
                  <a:outerShdw blurRad="38100" dist="12700" dir="2700000" algn="tl" rotWithShape="0">
                    <a:prstClr val="black">
                      <a:alpha val="40000"/>
                    </a:prstClr>
                  </a:outerShdw>
                </a:effectLst>
                <a:latin typeface="Calibri"/>
                <a:ea typeface="Calibri"/>
                <a:cs typeface="Calibri"/>
              </a:rPr>
              <a:pPr algn="ctr"/>
              <a:t> -   zł </a:t>
            </a:fld>
            <a:endParaRPr lang="pl-PL" sz="1300" b="1">
              <a:effectLst>
                <a:outerShdw blurRad="38100" dist="12700" dir="2700000" algn="tl" rotWithShape="0">
                  <a:prstClr val="black">
                    <a:alpha val="40000"/>
                  </a:prstClr>
                </a:outerShdw>
              </a:effectLst>
            </a:endParaRPr>
          </a:p>
        </xdr:txBody>
      </xdr:sp>
      <xdr:sp macro="" textlink="$T$20">
        <xdr:nvSpPr>
          <xdr:cNvPr id="26" name="pole tekstowe 25">
            <a:extLst>
              <a:ext uri="{FF2B5EF4-FFF2-40B4-BE49-F238E27FC236}">
                <a16:creationId xmlns:a16="http://schemas.microsoft.com/office/drawing/2014/main" id="{AE523EAD-9ECA-4747-8862-9406D62E119F}"/>
              </a:ext>
            </a:extLst>
          </xdr:cNvPr>
          <xdr:cNvSpPr txBox="1"/>
        </xdr:nvSpPr>
        <xdr:spPr>
          <a:xfrm>
            <a:off x="11197367" y="3322038"/>
            <a:ext cx="969519" cy="29736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50EC636E-F47D-4B3D-A4C4-2DD60133B7B5}" type="TxLink">
              <a:rPr lang="en-US" sz="1300" b="1" i="0" u="none" strike="noStrike">
                <a:solidFill>
                  <a:srgbClr val="000000"/>
                </a:solidFill>
                <a:effectLst>
                  <a:outerShdw blurRad="38100" dist="12700" dir="2700000" algn="tl" rotWithShape="0">
                    <a:prstClr val="black">
                      <a:alpha val="40000"/>
                    </a:prstClr>
                  </a:outerShdw>
                </a:effectLst>
                <a:latin typeface="Calibri"/>
                <a:ea typeface="Calibri"/>
                <a:cs typeface="Calibri"/>
              </a:rPr>
              <a:pPr algn="ctr"/>
              <a:t> -   zł </a:t>
            </a:fld>
            <a:endParaRPr lang="pl-PL" sz="1300" b="1">
              <a:effectLst>
                <a:outerShdw blurRad="38100" dist="12700" dir="2700000" algn="tl" rotWithShape="0">
                  <a:prstClr val="black">
                    <a:alpha val="40000"/>
                  </a:prstClr>
                </a:outerShdw>
              </a:effectLst>
            </a:endParaRPr>
          </a:p>
        </xdr:txBody>
      </xdr:sp>
      <xdr:sp macro="" textlink="$T$21">
        <xdr:nvSpPr>
          <xdr:cNvPr id="27" name="pole tekstowe 26">
            <a:extLst>
              <a:ext uri="{FF2B5EF4-FFF2-40B4-BE49-F238E27FC236}">
                <a16:creationId xmlns:a16="http://schemas.microsoft.com/office/drawing/2014/main" id="{38D70D72-1560-4654-872B-55680D6C2346}"/>
              </a:ext>
            </a:extLst>
          </xdr:cNvPr>
          <xdr:cNvSpPr txBox="1"/>
        </xdr:nvSpPr>
        <xdr:spPr>
          <a:xfrm>
            <a:off x="6892367" y="4983449"/>
            <a:ext cx="969519" cy="29736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02919829-17C0-49BB-8AA3-5FCDA10F3B48}" type="TxLink">
              <a:rPr lang="en-US" sz="1300" b="1" i="0" u="none" strike="noStrike">
                <a:solidFill>
                  <a:srgbClr val="000000"/>
                </a:solidFill>
                <a:effectLst>
                  <a:outerShdw blurRad="38100" dist="12700" dir="2700000" algn="tl" rotWithShape="0">
                    <a:prstClr val="black">
                      <a:alpha val="40000"/>
                    </a:prstClr>
                  </a:outerShdw>
                </a:effectLst>
                <a:latin typeface="Calibri"/>
                <a:ea typeface="Calibri"/>
                <a:cs typeface="Calibri"/>
              </a:rPr>
              <a:pPr algn="ctr"/>
              <a:t> 145,00 zł </a:t>
            </a:fld>
            <a:endParaRPr lang="pl-PL" sz="1300" b="1">
              <a:effectLst>
                <a:outerShdw blurRad="38100" dist="12700" dir="2700000" algn="tl" rotWithShape="0">
                  <a:prstClr val="black">
                    <a:alpha val="40000"/>
                  </a:prstClr>
                </a:outerShdw>
              </a:effectLst>
            </a:endParaRPr>
          </a:p>
        </xdr:txBody>
      </xdr:sp>
      <xdr:sp macro="" textlink="$T$22">
        <xdr:nvSpPr>
          <xdr:cNvPr id="28" name="pole tekstowe 27">
            <a:extLst>
              <a:ext uri="{FF2B5EF4-FFF2-40B4-BE49-F238E27FC236}">
                <a16:creationId xmlns:a16="http://schemas.microsoft.com/office/drawing/2014/main" id="{572B24EC-9338-47A0-9257-B6A9236F0CE8}"/>
              </a:ext>
            </a:extLst>
          </xdr:cNvPr>
          <xdr:cNvSpPr txBox="1"/>
        </xdr:nvSpPr>
        <xdr:spPr>
          <a:xfrm>
            <a:off x="7977618" y="4983449"/>
            <a:ext cx="969519" cy="29736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BBCCD47D-6BD3-4D64-BE9B-E0AA72B4194E}" type="TxLink">
              <a:rPr lang="en-US" sz="1300" b="1" i="0" u="none" strike="noStrike">
                <a:solidFill>
                  <a:srgbClr val="000000"/>
                </a:solidFill>
                <a:effectLst>
                  <a:outerShdw blurRad="38100" dist="12700" dir="2700000" algn="tl" rotWithShape="0">
                    <a:prstClr val="black">
                      <a:alpha val="40000"/>
                    </a:prstClr>
                  </a:outerShdw>
                </a:effectLst>
                <a:latin typeface="Calibri"/>
                <a:ea typeface="Calibri"/>
                <a:cs typeface="Calibri"/>
              </a:rPr>
              <a:pPr algn="ctr"/>
              <a:t> -   zł </a:t>
            </a:fld>
            <a:endParaRPr lang="pl-PL" sz="1300" b="1">
              <a:effectLst>
                <a:outerShdw blurRad="38100" dist="12700" dir="2700000" algn="tl" rotWithShape="0">
                  <a:prstClr val="black">
                    <a:alpha val="40000"/>
                  </a:prstClr>
                </a:outerShdw>
              </a:effectLst>
            </a:endParaRPr>
          </a:p>
        </xdr:txBody>
      </xdr:sp>
      <xdr:sp macro="" textlink="$T$23">
        <xdr:nvSpPr>
          <xdr:cNvPr id="29" name="pole tekstowe 28">
            <a:extLst>
              <a:ext uri="{FF2B5EF4-FFF2-40B4-BE49-F238E27FC236}">
                <a16:creationId xmlns:a16="http://schemas.microsoft.com/office/drawing/2014/main" id="{050E0E55-B248-4C03-AEB3-C75852D243E9}"/>
              </a:ext>
            </a:extLst>
          </xdr:cNvPr>
          <xdr:cNvSpPr txBox="1"/>
        </xdr:nvSpPr>
        <xdr:spPr>
          <a:xfrm>
            <a:off x="9023562" y="4983449"/>
            <a:ext cx="969519" cy="29736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EF61CFF5-2D4B-4AC5-9940-7EC1B242DC13}" type="TxLink">
              <a:rPr lang="en-US" sz="1300" b="1" i="0" u="none" strike="noStrike">
                <a:solidFill>
                  <a:srgbClr val="000000"/>
                </a:solidFill>
                <a:effectLst>
                  <a:outerShdw blurRad="38100" dist="12700" dir="2700000" algn="tl" rotWithShape="0">
                    <a:prstClr val="black">
                      <a:alpha val="40000"/>
                    </a:prstClr>
                  </a:outerShdw>
                </a:effectLst>
                <a:latin typeface="Calibri"/>
                <a:ea typeface="Calibri"/>
                <a:cs typeface="Calibri"/>
              </a:rPr>
              <a:pPr algn="ctr"/>
              <a:t> -   zł </a:t>
            </a:fld>
            <a:endParaRPr lang="pl-PL" sz="1300" b="1">
              <a:effectLst>
                <a:outerShdw blurRad="38100" dist="12700" dir="2700000" algn="tl" rotWithShape="0">
                  <a:prstClr val="black">
                    <a:alpha val="40000"/>
                  </a:prstClr>
                </a:outerShdw>
              </a:effectLst>
            </a:endParaRPr>
          </a:p>
        </xdr:txBody>
      </xdr:sp>
      <xdr:sp macro="" textlink="$T$24">
        <xdr:nvSpPr>
          <xdr:cNvPr id="30" name="pole tekstowe 29">
            <a:extLst>
              <a:ext uri="{FF2B5EF4-FFF2-40B4-BE49-F238E27FC236}">
                <a16:creationId xmlns:a16="http://schemas.microsoft.com/office/drawing/2014/main" id="{D88509E4-E8D9-4022-9EC8-698941588D60}"/>
              </a:ext>
            </a:extLst>
          </xdr:cNvPr>
          <xdr:cNvSpPr txBox="1"/>
        </xdr:nvSpPr>
        <xdr:spPr>
          <a:xfrm>
            <a:off x="10143953" y="5009687"/>
            <a:ext cx="969519" cy="24489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60971BC9-8DBB-42AA-82FE-5399A3FBE800}" type="TxLink">
              <a:rPr lang="en-US" sz="1300" b="1" i="0" u="none" strike="noStrike">
                <a:solidFill>
                  <a:srgbClr val="000000"/>
                </a:solidFill>
                <a:effectLst>
                  <a:outerShdw blurRad="38100" dist="12700" dir="2700000" algn="tl" rotWithShape="0">
                    <a:prstClr val="black">
                      <a:alpha val="40000"/>
                    </a:prstClr>
                  </a:outerShdw>
                </a:effectLst>
                <a:latin typeface="Calibri"/>
                <a:ea typeface="Calibri"/>
                <a:cs typeface="Calibri"/>
              </a:rPr>
              <a:pPr algn="ctr"/>
              <a:t> -   zł </a:t>
            </a:fld>
            <a:endParaRPr lang="pl-PL" sz="1300" b="1">
              <a:effectLst>
                <a:outerShdw blurRad="38100" dist="12700" dir="2700000" algn="tl" rotWithShape="0">
                  <a:prstClr val="black">
                    <a:alpha val="40000"/>
                  </a:prstClr>
                </a:outerShdw>
              </a:effectLst>
            </a:endParaRPr>
          </a:p>
        </xdr:txBody>
      </xdr:sp>
      <xdr:sp macro="" textlink="$T$25">
        <xdr:nvSpPr>
          <xdr:cNvPr id="31" name="pole tekstowe 30">
            <a:extLst>
              <a:ext uri="{FF2B5EF4-FFF2-40B4-BE49-F238E27FC236}">
                <a16:creationId xmlns:a16="http://schemas.microsoft.com/office/drawing/2014/main" id="{E30ED4FE-2BF5-4ED6-93BA-82B4CA1118E6}"/>
              </a:ext>
            </a:extLst>
          </xdr:cNvPr>
          <xdr:cNvSpPr txBox="1"/>
        </xdr:nvSpPr>
        <xdr:spPr>
          <a:xfrm>
            <a:off x="11197367" y="5009687"/>
            <a:ext cx="969519" cy="24489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A6306454-EC3E-4E9E-BEDD-6F6DFA18E592}" type="TxLink">
              <a:rPr lang="en-US" sz="1200" b="1" i="0" u="none" strike="noStrike">
                <a:solidFill>
                  <a:srgbClr val="000000"/>
                </a:solidFill>
                <a:effectLst>
                  <a:outerShdw blurRad="38100" dist="12700" dir="2700000" algn="tl" rotWithShape="0">
                    <a:prstClr val="black">
                      <a:alpha val="40000"/>
                    </a:prstClr>
                  </a:outerShdw>
                </a:effectLst>
                <a:latin typeface="Calibri"/>
                <a:ea typeface="Calibri"/>
                <a:cs typeface="Calibri"/>
              </a:rPr>
              <a:pPr algn="ctr"/>
              <a:t> -   zł </a:t>
            </a:fld>
            <a:endParaRPr lang="pl-PL" sz="1300" b="1">
              <a:effectLst>
                <a:outerShdw blurRad="38100" dist="12700" dir="2700000" algn="tl" rotWithShape="0">
                  <a:prstClr val="black">
                    <a:alpha val="40000"/>
                  </a:prstClr>
                </a:outerShdw>
              </a:effectLst>
            </a:endParaRPr>
          </a:p>
        </xdr:txBody>
      </xdr:sp>
      <xdr:sp macro="" textlink="">
        <xdr:nvSpPr>
          <xdr:cNvPr id="32" name="pole tekstowe 31">
            <a:extLst>
              <a:ext uri="{FF2B5EF4-FFF2-40B4-BE49-F238E27FC236}">
                <a16:creationId xmlns:a16="http://schemas.microsoft.com/office/drawing/2014/main" id="{EF7F331C-083E-4D3B-A582-86EB6ED2DFC8}"/>
              </a:ext>
            </a:extLst>
          </xdr:cNvPr>
          <xdr:cNvSpPr txBox="1"/>
        </xdr:nvSpPr>
        <xdr:spPr>
          <a:xfrm>
            <a:off x="6807995" y="3667745"/>
            <a:ext cx="1157309" cy="29736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l-PL" sz="1050" b="0">
                <a:effectLst>
                  <a:outerShdw blurRad="38100" dist="12700" dir="2700000" algn="tl" rotWithShape="0">
                    <a:prstClr val="black">
                      <a:alpha val="40000"/>
                    </a:prstClr>
                  </a:outerShdw>
                </a:effectLst>
              </a:rPr>
              <a:t>Dom i mieszkanie</a:t>
            </a:r>
          </a:p>
        </xdr:txBody>
      </xdr:sp>
      <xdr:sp macro="" textlink="">
        <xdr:nvSpPr>
          <xdr:cNvPr id="33" name="pole tekstowe 32">
            <a:extLst>
              <a:ext uri="{FF2B5EF4-FFF2-40B4-BE49-F238E27FC236}">
                <a16:creationId xmlns:a16="http://schemas.microsoft.com/office/drawing/2014/main" id="{A166A561-AE4A-40BB-950E-AC57386F1716}"/>
              </a:ext>
            </a:extLst>
          </xdr:cNvPr>
          <xdr:cNvSpPr txBox="1"/>
        </xdr:nvSpPr>
        <xdr:spPr>
          <a:xfrm>
            <a:off x="7912897" y="3667745"/>
            <a:ext cx="1157309" cy="29736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l-PL" sz="1050" b="0">
                <a:effectLst>
                  <a:outerShdw blurRad="38100" dist="12700" dir="2700000" algn="tl" rotWithShape="0">
                    <a:prstClr val="black">
                      <a:alpha val="40000"/>
                    </a:prstClr>
                  </a:outerShdw>
                </a:effectLst>
              </a:rPr>
              <a:t>Jedzenie i napoje</a:t>
            </a:r>
          </a:p>
        </xdr:txBody>
      </xdr:sp>
      <xdr:sp macro="" textlink="">
        <xdr:nvSpPr>
          <xdr:cNvPr id="34" name="pole tekstowe 33">
            <a:extLst>
              <a:ext uri="{FF2B5EF4-FFF2-40B4-BE49-F238E27FC236}">
                <a16:creationId xmlns:a16="http://schemas.microsoft.com/office/drawing/2014/main" id="{E5D75E0E-35B3-4F2F-9340-3D914DDB721C}"/>
              </a:ext>
            </a:extLst>
          </xdr:cNvPr>
          <xdr:cNvSpPr txBox="1"/>
        </xdr:nvSpPr>
        <xdr:spPr>
          <a:xfrm>
            <a:off x="8998147" y="3667745"/>
            <a:ext cx="1157309" cy="29736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l-PL" sz="1050" b="0">
                <a:effectLst>
                  <a:outerShdw blurRad="38100" dist="12700" dir="2700000" algn="tl" rotWithShape="0">
                    <a:prstClr val="black">
                      <a:alpha val="40000"/>
                    </a:prstClr>
                  </a:outerShdw>
                </a:effectLst>
              </a:rPr>
              <a:t>Transport</a:t>
            </a:r>
          </a:p>
        </xdr:txBody>
      </xdr:sp>
      <xdr:sp macro="" textlink="">
        <xdr:nvSpPr>
          <xdr:cNvPr id="35" name="pole tekstowe 34">
            <a:extLst>
              <a:ext uri="{FF2B5EF4-FFF2-40B4-BE49-F238E27FC236}">
                <a16:creationId xmlns:a16="http://schemas.microsoft.com/office/drawing/2014/main" id="{E08681F1-5CBE-4CED-906F-04C9567CA961}"/>
              </a:ext>
            </a:extLst>
          </xdr:cNvPr>
          <xdr:cNvSpPr txBox="1"/>
        </xdr:nvSpPr>
        <xdr:spPr>
          <a:xfrm>
            <a:off x="10050058" y="3667745"/>
            <a:ext cx="1157309" cy="29736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l-PL" sz="1050" b="0">
                <a:effectLst>
                  <a:outerShdw blurRad="38100" dist="12700" dir="2700000" algn="tl" rotWithShape="0">
                    <a:prstClr val="black">
                      <a:alpha val="40000"/>
                    </a:prstClr>
                  </a:outerShdw>
                </a:effectLst>
              </a:rPr>
              <a:t>Samochód</a:t>
            </a:r>
          </a:p>
        </xdr:txBody>
      </xdr:sp>
      <xdr:sp macro="" textlink="">
        <xdr:nvSpPr>
          <xdr:cNvPr id="36" name="pole tekstowe 35">
            <a:extLst>
              <a:ext uri="{FF2B5EF4-FFF2-40B4-BE49-F238E27FC236}">
                <a16:creationId xmlns:a16="http://schemas.microsoft.com/office/drawing/2014/main" id="{C259477E-05EF-4B82-931D-FE33425A592E}"/>
              </a:ext>
            </a:extLst>
          </xdr:cNvPr>
          <xdr:cNvSpPr txBox="1"/>
        </xdr:nvSpPr>
        <xdr:spPr>
          <a:xfrm>
            <a:off x="11103472" y="3650252"/>
            <a:ext cx="1157309" cy="33235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l-PL" sz="1050" b="0">
                <a:effectLst>
                  <a:outerShdw blurRad="38100" dist="12700" dir="2700000" algn="tl" rotWithShape="0">
                    <a:prstClr val="black">
                      <a:alpha val="40000"/>
                    </a:prstClr>
                  </a:outerShdw>
                </a:effectLst>
              </a:rPr>
              <a:t>Zdrowie</a:t>
            </a:r>
            <a:r>
              <a:rPr lang="pl-PL" sz="1050" b="0" baseline="0">
                <a:effectLst>
                  <a:outerShdw blurRad="38100" dist="12700" dir="2700000" algn="tl" rotWithShape="0">
                    <a:prstClr val="black">
                      <a:alpha val="40000"/>
                    </a:prstClr>
                  </a:outerShdw>
                </a:effectLst>
              </a:rPr>
              <a:t> i uroda</a:t>
            </a:r>
            <a:endParaRPr lang="pl-PL" sz="1050" b="0">
              <a:effectLst>
                <a:outerShdw blurRad="38100" dist="12700" dir="2700000" algn="tl" rotWithShape="0">
                  <a:prstClr val="black">
                    <a:alpha val="40000"/>
                  </a:prstClr>
                </a:outerShdw>
              </a:effectLst>
            </a:endParaRPr>
          </a:p>
        </xdr:txBody>
      </xdr:sp>
      <xdr:sp macro="" textlink="">
        <xdr:nvSpPr>
          <xdr:cNvPr id="37" name="pole tekstowe 36">
            <a:extLst>
              <a:ext uri="{FF2B5EF4-FFF2-40B4-BE49-F238E27FC236}">
                <a16:creationId xmlns:a16="http://schemas.microsoft.com/office/drawing/2014/main" id="{3CEE4984-37A2-41BF-B747-1B0A50C3A9DF}"/>
              </a:ext>
            </a:extLst>
          </xdr:cNvPr>
          <xdr:cNvSpPr txBox="1"/>
        </xdr:nvSpPr>
        <xdr:spPr>
          <a:xfrm>
            <a:off x="6798473" y="5311125"/>
            <a:ext cx="1157309" cy="33235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l-PL" sz="1050" b="0">
                <a:effectLst>
                  <a:outerShdw blurRad="38100" dist="12700" dir="2700000" algn="tl" rotWithShape="0">
                    <a:prstClr val="black">
                      <a:alpha val="40000"/>
                    </a:prstClr>
                  </a:outerShdw>
                </a:effectLst>
              </a:rPr>
              <a:t>Edukacja</a:t>
            </a:r>
          </a:p>
        </xdr:txBody>
      </xdr:sp>
      <xdr:sp macro="" textlink="">
        <xdr:nvSpPr>
          <xdr:cNvPr id="38" name="pole tekstowe 37">
            <a:extLst>
              <a:ext uri="{FF2B5EF4-FFF2-40B4-BE49-F238E27FC236}">
                <a16:creationId xmlns:a16="http://schemas.microsoft.com/office/drawing/2014/main" id="{CEC339EE-4B7A-4452-8168-305151703071}"/>
              </a:ext>
            </a:extLst>
          </xdr:cNvPr>
          <xdr:cNvSpPr txBox="1"/>
        </xdr:nvSpPr>
        <xdr:spPr>
          <a:xfrm>
            <a:off x="7883722" y="5311125"/>
            <a:ext cx="1157309" cy="33235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l-PL" sz="1050" b="0">
                <a:effectLst>
                  <a:outerShdw blurRad="38100" dist="12700" dir="2700000" algn="tl" rotWithShape="0">
                    <a:prstClr val="black">
                      <a:alpha val="40000"/>
                    </a:prstClr>
                  </a:outerShdw>
                </a:effectLst>
              </a:rPr>
              <a:t>Rozrywka</a:t>
            </a:r>
          </a:p>
        </xdr:txBody>
      </xdr:sp>
      <xdr:sp macro="" textlink="">
        <xdr:nvSpPr>
          <xdr:cNvPr id="39" name="pole tekstowe 38">
            <a:extLst>
              <a:ext uri="{FF2B5EF4-FFF2-40B4-BE49-F238E27FC236}">
                <a16:creationId xmlns:a16="http://schemas.microsoft.com/office/drawing/2014/main" id="{48D60550-46F8-4F5D-9E8B-06FB756AD172}"/>
              </a:ext>
            </a:extLst>
          </xdr:cNvPr>
          <xdr:cNvSpPr txBox="1"/>
        </xdr:nvSpPr>
        <xdr:spPr>
          <a:xfrm>
            <a:off x="8929667" y="5311125"/>
            <a:ext cx="1157309" cy="33235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l-PL" sz="1050" b="0">
                <a:effectLst>
                  <a:outerShdw blurRad="38100" dist="12700" dir="2700000" algn="tl" rotWithShape="0">
                    <a:prstClr val="black">
                      <a:alpha val="40000"/>
                    </a:prstClr>
                  </a:outerShdw>
                </a:effectLst>
              </a:rPr>
              <a:t>Zakupy</a:t>
            </a:r>
          </a:p>
        </xdr:txBody>
      </xdr:sp>
      <xdr:sp macro="" textlink="">
        <xdr:nvSpPr>
          <xdr:cNvPr id="40" name="pole tekstowe 39">
            <a:extLst>
              <a:ext uri="{FF2B5EF4-FFF2-40B4-BE49-F238E27FC236}">
                <a16:creationId xmlns:a16="http://schemas.microsoft.com/office/drawing/2014/main" id="{95EE00E3-C24E-4D55-8243-2EB8E4EA237D}"/>
              </a:ext>
            </a:extLst>
          </xdr:cNvPr>
          <xdr:cNvSpPr txBox="1"/>
        </xdr:nvSpPr>
        <xdr:spPr>
          <a:xfrm>
            <a:off x="10050058" y="5354856"/>
            <a:ext cx="1157309" cy="24489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l-PL" sz="1050" b="0">
                <a:effectLst>
                  <a:outerShdw blurRad="38100" dist="12700" dir="2700000" algn="tl" rotWithShape="0">
                    <a:prstClr val="black">
                      <a:alpha val="40000"/>
                    </a:prstClr>
                  </a:outerShdw>
                </a:effectLst>
              </a:rPr>
              <a:t>Wycieczki,hotele</a:t>
            </a:r>
          </a:p>
        </xdr:txBody>
      </xdr:sp>
      <xdr:sp macro="" textlink="">
        <xdr:nvSpPr>
          <xdr:cNvPr id="41" name="pole tekstowe 40">
            <a:extLst>
              <a:ext uri="{FF2B5EF4-FFF2-40B4-BE49-F238E27FC236}">
                <a16:creationId xmlns:a16="http://schemas.microsoft.com/office/drawing/2014/main" id="{E8A866A4-D905-4865-9567-A939A267CA48}"/>
              </a:ext>
            </a:extLst>
          </xdr:cNvPr>
          <xdr:cNvSpPr txBox="1"/>
        </xdr:nvSpPr>
        <xdr:spPr>
          <a:xfrm>
            <a:off x="11103472" y="5258649"/>
            <a:ext cx="1157309" cy="39556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l-PL" sz="1050" b="0">
                <a:effectLst>
                  <a:outerShdw blurRad="38100" dist="12700" dir="2700000" algn="tl" rotWithShape="0">
                    <a:prstClr val="black">
                      <a:alpha val="40000"/>
                    </a:prstClr>
                  </a:outerShdw>
                </a:effectLst>
              </a:rPr>
              <a:t>Komunikacja,</a:t>
            </a:r>
          </a:p>
          <a:p>
            <a:pPr algn="ctr"/>
            <a:r>
              <a:rPr lang="pl-PL" sz="1050" b="0">
                <a:effectLst>
                  <a:outerShdw blurRad="38100" dist="12700" dir="2700000" algn="tl" rotWithShape="0">
                    <a:prstClr val="black">
                      <a:alpha val="40000"/>
                    </a:prstClr>
                  </a:outerShdw>
                </a:effectLst>
              </a:rPr>
              <a:t>elektronika</a:t>
            </a:r>
          </a:p>
        </xdr:txBody>
      </xdr:sp>
    </xdr:grpSp>
    <xdr:clientData/>
  </xdr:twoCellAnchor>
  <xdr:twoCellAnchor>
    <xdr:from>
      <xdr:col>0</xdr:col>
      <xdr:colOff>0</xdr:colOff>
      <xdr:row>4</xdr:row>
      <xdr:rowOff>114301</xdr:rowOff>
    </xdr:from>
    <xdr:to>
      <xdr:col>7</xdr:col>
      <xdr:colOff>295274</xdr:colOff>
      <xdr:row>30</xdr:row>
      <xdr:rowOff>95251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8764FDFC-13E7-9F65-D30D-56EBA457BE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7</xdr:col>
      <xdr:colOff>757837</xdr:colOff>
      <xdr:row>6</xdr:row>
      <xdr:rowOff>171450</xdr:rowOff>
    </xdr:from>
    <xdr:to>
      <xdr:col>13</xdr:col>
      <xdr:colOff>666750</xdr:colOff>
      <xdr:row>12</xdr:row>
      <xdr:rowOff>28575</xdr:rowOff>
    </xdr:to>
    <xdr:graphicFrame macro="">
      <xdr:nvGraphicFramePr>
        <xdr:cNvPr id="10" name="Wykres 9">
          <a:extLst>
            <a:ext uri="{FF2B5EF4-FFF2-40B4-BE49-F238E27FC236}">
              <a16:creationId xmlns:a16="http://schemas.microsoft.com/office/drawing/2014/main" id="{FD124978-9C7A-6027-BF63-608B357765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</xdr:col>
      <xdr:colOff>133350</xdr:colOff>
      <xdr:row>3</xdr:row>
      <xdr:rowOff>123825</xdr:rowOff>
    </xdr:from>
    <xdr:to>
      <xdr:col>5</xdr:col>
      <xdr:colOff>304800</xdr:colOff>
      <xdr:row>3</xdr:row>
      <xdr:rowOff>238125</xdr:rowOff>
    </xdr:to>
    <xdr:sp macro="[0]!PokażUkryjMiesiac" textlink="">
      <xdr:nvSpPr>
        <xdr:cNvPr id="16" name="Strzałka: pagon 15">
          <a:extLst>
            <a:ext uri="{FF2B5EF4-FFF2-40B4-BE49-F238E27FC236}">
              <a16:creationId xmlns:a16="http://schemas.microsoft.com/office/drawing/2014/main" id="{E6267665-16CE-BDD6-2038-E1EC58CC413F}"/>
            </a:ext>
          </a:extLst>
        </xdr:cNvPr>
        <xdr:cNvSpPr/>
      </xdr:nvSpPr>
      <xdr:spPr>
        <a:xfrm rot="5400000">
          <a:off x="4667250" y="904875"/>
          <a:ext cx="114300" cy="171450"/>
        </a:xfrm>
        <a:prstGeom prst="chevron">
          <a:avLst/>
        </a:prstGeom>
        <a:solidFill>
          <a:schemeClr val="bg1"/>
        </a:solidFill>
        <a:ln>
          <a:solidFill>
            <a:srgbClr val="6883C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657225</xdr:colOff>
      <xdr:row>3</xdr:row>
      <xdr:rowOff>114300</xdr:rowOff>
    </xdr:from>
    <xdr:to>
      <xdr:col>1</xdr:col>
      <xdr:colOff>828675</xdr:colOff>
      <xdr:row>3</xdr:row>
      <xdr:rowOff>228600</xdr:rowOff>
    </xdr:to>
    <xdr:sp macro="[0]!PokażUkryjRok" textlink="">
      <xdr:nvSpPr>
        <xdr:cNvPr id="18" name="Strzałka: pagon 17">
          <a:extLst>
            <a:ext uri="{FF2B5EF4-FFF2-40B4-BE49-F238E27FC236}">
              <a16:creationId xmlns:a16="http://schemas.microsoft.com/office/drawing/2014/main" id="{F1420034-6FAE-F232-E3FD-AB9C0CF6F220}"/>
            </a:ext>
          </a:extLst>
        </xdr:cNvPr>
        <xdr:cNvSpPr/>
      </xdr:nvSpPr>
      <xdr:spPr>
        <a:xfrm rot="5400000">
          <a:off x="1533525" y="895350"/>
          <a:ext cx="114300" cy="171450"/>
        </a:xfrm>
        <a:prstGeom prst="chevron">
          <a:avLst/>
        </a:prstGeom>
        <a:solidFill>
          <a:schemeClr val="bg1"/>
        </a:solidFill>
        <a:ln>
          <a:solidFill>
            <a:srgbClr val="6883C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809625</xdr:colOff>
      <xdr:row>4</xdr:row>
      <xdr:rowOff>9525</xdr:rowOff>
    </xdr:from>
    <xdr:to>
      <xdr:col>5</xdr:col>
      <xdr:colOff>409575</xdr:colOff>
      <xdr:row>21</xdr:row>
      <xdr:rowOff>190500</xdr:rowOff>
    </xdr:to>
    <xdr:grpSp>
      <xdr:nvGrpSpPr>
        <xdr:cNvPr id="70" name="MiesiącGrupa" hidden="1">
          <a:extLst>
            <a:ext uri="{FF2B5EF4-FFF2-40B4-BE49-F238E27FC236}">
              <a16:creationId xmlns:a16="http://schemas.microsoft.com/office/drawing/2014/main" id="{AA58E9B5-4032-E0FF-E719-6D8A655E6A16}"/>
            </a:ext>
          </a:extLst>
        </xdr:cNvPr>
        <xdr:cNvGrpSpPr/>
      </xdr:nvGrpSpPr>
      <xdr:grpSpPr>
        <a:xfrm>
          <a:off x="3352800" y="1123950"/>
          <a:ext cx="1562100" cy="3924300"/>
          <a:chOff x="3371850" y="1123950"/>
          <a:chExt cx="1190625" cy="3886200"/>
        </a:xfrm>
      </xdr:grpSpPr>
      <xdr:sp macro="[0]!Miesiac_Wybrany" textlink="">
        <xdr:nvSpPr>
          <xdr:cNvPr id="43" name="Styczeń" hidden="1">
            <a:extLst>
              <a:ext uri="{FF2B5EF4-FFF2-40B4-BE49-F238E27FC236}">
                <a16:creationId xmlns:a16="http://schemas.microsoft.com/office/drawing/2014/main" id="{419A2B26-171E-F319-03D3-D5A1EDD6FD74}"/>
              </a:ext>
            </a:extLst>
          </xdr:cNvPr>
          <xdr:cNvSpPr/>
        </xdr:nvSpPr>
        <xdr:spPr>
          <a:xfrm>
            <a:off x="3371850" y="1123950"/>
            <a:ext cx="1190625" cy="323850"/>
          </a:xfrm>
          <a:prstGeom prst="rect">
            <a:avLst/>
          </a:prstGeom>
          <a:solidFill>
            <a:srgbClr val="6883C6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l-PL" sz="1800" b="0"/>
              <a:t>Styczeń</a:t>
            </a:r>
          </a:p>
        </xdr:txBody>
      </xdr:sp>
      <xdr:sp macro="[0]!Miesiac_Wybrany" textlink="">
        <xdr:nvSpPr>
          <xdr:cNvPr id="44" name="Luty" hidden="1">
            <a:extLst>
              <a:ext uri="{FF2B5EF4-FFF2-40B4-BE49-F238E27FC236}">
                <a16:creationId xmlns:a16="http://schemas.microsoft.com/office/drawing/2014/main" id="{66EAD79D-3570-3AA8-E2D3-CD4132EC4FD4}"/>
              </a:ext>
            </a:extLst>
          </xdr:cNvPr>
          <xdr:cNvSpPr/>
        </xdr:nvSpPr>
        <xdr:spPr>
          <a:xfrm>
            <a:off x="3371850" y="1448666"/>
            <a:ext cx="1190625" cy="323850"/>
          </a:xfrm>
          <a:prstGeom prst="rect">
            <a:avLst/>
          </a:prstGeom>
          <a:solidFill>
            <a:srgbClr val="6883C6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l-PL" sz="1800" b="0"/>
              <a:t>Luty</a:t>
            </a:r>
          </a:p>
        </xdr:txBody>
      </xdr:sp>
      <xdr:sp macro="[0]!Miesiac_Wybrany" textlink="">
        <xdr:nvSpPr>
          <xdr:cNvPr id="45" name="Marzec" hidden="1">
            <a:extLst>
              <a:ext uri="{FF2B5EF4-FFF2-40B4-BE49-F238E27FC236}">
                <a16:creationId xmlns:a16="http://schemas.microsoft.com/office/drawing/2014/main" id="{49BC7783-0E90-37B8-B535-72D6466263CC}"/>
              </a:ext>
            </a:extLst>
          </xdr:cNvPr>
          <xdr:cNvSpPr/>
        </xdr:nvSpPr>
        <xdr:spPr>
          <a:xfrm>
            <a:off x="3371850" y="1773382"/>
            <a:ext cx="1190625" cy="323850"/>
          </a:xfrm>
          <a:prstGeom prst="rect">
            <a:avLst/>
          </a:prstGeom>
          <a:solidFill>
            <a:srgbClr val="6883C6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l-PL" sz="1800" b="0"/>
              <a:t>Marzec</a:t>
            </a:r>
          </a:p>
        </xdr:txBody>
      </xdr:sp>
      <xdr:sp macro="[0]!Miesiac_Wybrany" textlink="">
        <xdr:nvSpPr>
          <xdr:cNvPr id="46" name="Kwiecień" hidden="1">
            <a:extLst>
              <a:ext uri="{FF2B5EF4-FFF2-40B4-BE49-F238E27FC236}">
                <a16:creationId xmlns:a16="http://schemas.microsoft.com/office/drawing/2014/main" id="{6432825C-773E-811B-A906-29573E2FC02E}"/>
              </a:ext>
            </a:extLst>
          </xdr:cNvPr>
          <xdr:cNvSpPr/>
        </xdr:nvSpPr>
        <xdr:spPr>
          <a:xfrm>
            <a:off x="3371850" y="2098098"/>
            <a:ext cx="1190625" cy="323850"/>
          </a:xfrm>
          <a:prstGeom prst="rect">
            <a:avLst/>
          </a:prstGeom>
          <a:solidFill>
            <a:srgbClr val="6883C6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l-PL" sz="1800" b="0"/>
              <a:t>Kwiecień</a:t>
            </a:r>
          </a:p>
        </xdr:txBody>
      </xdr:sp>
      <xdr:sp macro="[0]!Miesiac_Wybrany" textlink="">
        <xdr:nvSpPr>
          <xdr:cNvPr id="47" name="Maj" hidden="1">
            <a:extLst>
              <a:ext uri="{FF2B5EF4-FFF2-40B4-BE49-F238E27FC236}">
                <a16:creationId xmlns:a16="http://schemas.microsoft.com/office/drawing/2014/main" id="{7193C3EE-7C7C-1AA0-17B5-E2C8AC323488}"/>
              </a:ext>
            </a:extLst>
          </xdr:cNvPr>
          <xdr:cNvSpPr/>
        </xdr:nvSpPr>
        <xdr:spPr>
          <a:xfrm>
            <a:off x="3371850" y="2422814"/>
            <a:ext cx="1190625" cy="323850"/>
          </a:xfrm>
          <a:prstGeom prst="rect">
            <a:avLst/>
          </a:prstGeom>
          <a:solidFill>
            <a:srgbClr val="6883C6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l-PL" sz="1800" b="0"/>
              <a:t>Maj</a:t>
            </a:r>
          </a:p>
        </xdr:txBody>
      </xdr:sp>
      <xdr:sp macro="[0]!Miesiac_Wybrany" textlink="">
        <xdr:nvSpPr>
          <xdr:cNvPr id="48" name="Czerwiec" hidden="1">
            <a:extLst>
              <a:ext uri="{FF2B5EF4-FFF2-40B4-BE49-F238E27FC236}">
                <a16:creationId xmlns:a16="http://schemas.microsoft.com/office/drawing/2014/main" id="{BA8CC84E-E279-E564-E5FA-A088DA751843}"/>
              </a:ext>
            </a:extLst>
          </xdr:cNvPr>
          <xdr:cNvSpPr/>
        </xdr:nvSpPr>
        <xdr:spPr>
          <a:xfrm>
            <a:off x="3371850" y="2747530"/>
            <a:ext cx="1190625" cy="323850"/>
          </a:xfrm>
          <a:prstGeom prst="rect">
            <a:avLst/>
          </a:prstGeom>
          <a:solidFill>
            <a:srgbClr val="6883C6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l-PL" sz="1800" b="0"/>
              <a:t>Czerwiec</a:t>
            </a:r>
          </a:p>
        </xdr:txBody>
      </xdr:sp>
      <xdr:sp macro="[0]!Miesiac_Wybrany" textlink="">
        <xdr:nvSpPr>
          <xdr:cNvPr id="49" name="Lipiec" hidden="1">
            <a:extLst>
              <a:ext uri="{FF2B5EF4-FFF2-40B4-BE49-F238E27FC236}">
                <a16:creationId xmlns:a16="http://schemas.microsoft.com/office/drawing/2014/main" id="{41DDD9A0-0289-CE9E-5470-8E66C128B492}"/>
              </a:ext>
            </a:extLst>
          </xdr:cNvPr>
          <xdr:cNvSpPr/>
        </xdr:nvSpPr>
        <xdr:spPr>
          <a:xfrm>
            <a:off x="3371850" y="3062721"/>
            <a:ext cx="1190625" cy="323850"/>
          </a:xfrm>
          <a:prstGeom prst="rect">
            <a:avLst/>
          </a:prstGeom>
          <a:solidFill>
            <a:srgbClr val="6883C6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l-PL" sz="1800" b="0"/>
              <a:t>Lipiec</a:t>
            </a:r>
          </a:p>
        </xdr:txBody>
      </xdr:sp>
      <xdr:sp macro="[0]!Miesiac_Wybrany" textlink="">
        <xdr:nvSpPr>
          <xdr:cNvPr id="50" name="Sierpień" hidden="1">
            <a:extLst>
              <a:ext uri="{FF2B5EF4-FFF2-40B4-BE49-F238E27FC236}">
                <a16:creationId xmlns:a16="http://schemas.microsoft.com/office/drawing/2014/main" id="{4A32E892-0261-4870-7192-C86E26303847}"/>
              </a:ext>
            </a:extLst>
          </xdr:cNvPr>
          <xdr:cNvSpPr/>
        </xdr:nvSpPr>
        <xdr:spPr>
          <a:xfrm>
            <a:off x="3371850" y="3387437"/>
            <a:ext cx="1190625" cy="323850"/>
          </a:xfrm>
          <a:prstGeom prst="rect">
            <a:avLst/>
          </a:prstGeom>
          <a:solidFill>
            <a:srgbClr val="6883C6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l-PL" sz="1800" b="0"/>
              <a:t>Sierpień</a:t>
            </a:r>
          </a:p>
        </xdr:txBody>
      </xdr:sp>
      <xdr:sp macro="[0]!Miesiac_Wybrany" textlink="">
        <xdr:nvSpPr>
          <xdr:cNvPr id="51" name="Wrzesień" hidden="1">
            <a:extLst>
              <a:ext uri="{FF2B5EF4-FFF2-40B4-BE49-F238E27FC236}">
                <a16:creationId xmlns:a16="http://schemas.microsoft.com/office/drawing/2014/main" id="{0282CB6E-DC23-2306-B927-BA49BBD33973}"/>
              </a:ext>
            </a:extLst>
          </xdr:cNvPr>
          <xdr:cNvSpPr/>
        </xdr:nvSpPr>
        <xdr:spPr>
          <a:xfrm>
            <a:off x="3371850" y="3712153"/>
            <a:ext cx="1190625" cy="323850"/>
          </a:xfrm>
          <a:prstGeom prst="rect">
            <a:avLst/>
          </a:prstGeom>
          <a:solidFill>
            <a:srgbClr val="6883C6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l-PL" sz="1800" b="0"/>
              <a:t>Wrzesień</a:t>
            </a:r>
          </a:p>
        </xdr:txBody>
      </xdr:sp>
      <xdr:sp macro="[0]!Miesiac_Wybrany" textlink="">
        <xdr:nvSpPr>
          <xdr:cNvPr id="52" name="Pażdzernik" hidden="1">
            <a:extLst>
              <a:ext uri="{FF2B5EF4-FFF2-40B4-BE49-F238E27FC236}">
                <a16:creationId xmlns:a16="http://schemas.microsoft.com/office/drawing/2014/main" id="{DB6F7684-7A62-CE14-3AF8-DCCAB1766AD8}"/>
              </a:ext>
            </a:extLst>
          </xdr:cNvPr>
          <xdr:cNvSpPr/>
        </xdr:nvSpPr>
        <xdr:spPr>
          <a:xfrm>
            <a:off x="3371850" y="4036869"/>
            <a:ext cx="1190625" cy="323850"/>
          </a:xfrm>
          <a:prstGeom prst="rect">
            <a:avLst/>
          </a:prstGeom>
          <a:solidFill>
            <a:srgbClr val="6883C6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l-PL" sz="1800" b="0"/>
              <a:t>Pażdzernik</a:t>
            </a:r>
          </a:p>
        </xdr:txBody>
      </xdr:sp>
      <xdr:sp macro="[0]!Miesiac_Wybrany" textlink="">
        <xdr:nvSpPr>
          <xdr:cNvPr id="53" name="Listopad" hidden="1">
            <a:extLst>
              <a:ext uri="{FF2B5EF4-FFF2-40B4-BE49-F238E27FC236}">
                <a16:creationId xmlns:a16="http://schemas.microsoft.com/office/drawing/2014/main" id="{2FB14FA5-57F7-6B8D-F6CE-5916B47BE6AD}"/>
              </a:ext>
            </a:extLst>
          </xdr:cNvPr>
          <xdr:cNvSpPr/>
        </xdr:nvSpPr>
        <xdr:spPr>
          <a:xfrm>
            <a:off x="3371850" y="4361585"/>
            <a:ext cx="1190625" cy="323850"/>
          </a:xfrm>
          <a:prstGeom prst="rect">
            <a:avLst/>
          </a:prstGeom>
          <a:solidFill>
            <a:srgbClr val="6883C6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l-PL" sz="1800" b="0"/>
              <a:t>Listopad</a:t>
            </a:r>
          </a:p>
        </xdr:txBody>
      </xdr:sp>
      <xdr:sp macro="[0]!Miesiac_Wybrany" textlink="">
        <xdr:nvSpPr>
          <xdr:cNvPr id="54" name="Grudzień" hidden="1">
            <a:extLst>
              <a:ext uri="{FF2B5EF4-FFF2-40B4-BE49-F238E27FC236}">
                <a16:creationId xmlns:a16="http://schemas.microsoft.com/office/drawing/2014/main" id="{6F34CC12-9B8F-85CA-40CD-AA3924E17EFF}"/>
              </a:ext>
            </a:extLst>
          </xdr:cNvPr>
          <xdr:cNvSpPr/>
        </xdr:nvSpPr>
        <xdr:spPr>
          <a:xfrm>
            <a:off x="3371850" y="4686300"/>
            <a:ext cx="1190625" cy="323850"/>
          </a:xfrm>
          <a:prstGeom prst="rect">
            <a:avLst/>
          </a:prstGeom>
          <a:solidFill>
            <a:srgbClr val="6883C6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l-PL" sz="1800" b="0"/>
              <a:t>Grudzien</a:t>
            </a:r>
          </a:p>
        </xdr:txBody>
      </xdr:sp>
    </xdr:grpSp>
    <xdr:clientData/>
  </xdr:twoCellAnchor>
  <xdr:twoCellAnchor>
    <xdr:from>
      <xdr:col>15</xdr:col>
      <xdr:colOff>828675</xdr:colOff>
      <xdr:row>5</xdr:row>
      <xdr:rowOff>142875</xdr:rowOff>
    </xdr:from>
    <xdr:to>
      <xdr:col>20</xdr:col>
      <xdr:colOff>19051</xdr:colOff>
      <xdr:row>8</xdr:row>
      <xdr:rowOff>180975</xdr:rowOff>
    </xdr:to>
    <xdr:sp macro="[0]!DodajWpis" textlink="">
      <xdr:nvSpPr>
        <xdr:cNvPr id="72" name="Prostokąt: zaokrąglone rogi 71">
          <a:extLst>
            <a:ext uri="{FF2B5EF4-FFF2-40B4-BE49-F238E27FC236}">
              <a16:creationId xmlns:a16="http://schemas.microsoft.com/office/drawing/2014/main" id="{32D638B2-8DB4-CD53-B6F3-8872E4333D93}"/>
            </a:ext>
          </a:extLst>
        </xdr:cNvPr>
        <xdr:cNvSpPr/>
      </xdr:nvSpPr>
      <xdr:spPr>
        <a:xfrm>
          <a:off x="12153900" y="1438275"/>
          <a:ext cx="3781426" cy="609600"/>
        </a:xfrm>
        <a:prstGeom prst="roundRect">
          <a:avLst/>
        </a:prstGeom>
        <a:solidFill>
          <a:srgbClr val="6883C6"/>
        </a:solidFill>
        <a:ln>
          <a:solidFill>
            <a:srgbClr val="6883C6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2000"/>
            <a:t>Dodaj wpis</a:t>
          </a:r>
        </a:p>
      </xdr:txBody>
    </xdr:sp>
    <xdr:clientData/>
  </xdr:twoCellAnchor>
  <xdr:twoCellAnchor>
    <xdr:from>
      <xdr:col>15</xdr:col>
      <xdr:colOff>809625</xdr:colOff>
      <xdr:row>9</xdr:row>
      <xdr:rowOff>100013</xdr:rowOff>
    </xdr:from>
    <xdr:to>
      <xdr:col>17</xdr:col>
      <xdr:colOff>714375</xdr:colOff>
      <xdr:row>12</xdr:row>
      <xdr:rowOff>223837</xdr:rowOff>
    </xdr:to>
    <xdr:sp macro="[0]!RaportWydatki" textlink="">
      <xdr:nvSpPr>
        <xdr:cNvPr id="55" name="Prostokąt: zaokrąglone rogi 54">
          <a:extLst>
            <a:ext uri="{FF2B5EF4-FFF2-40B4-BE49-F238E27FC236}">
              <a16:creationId xmlns:a16="http://schemas.microsoft.com/office/drawing/2014/main" id="{FBFCDCA2-3C67-E1ED-64BE-EB9B202C8050}"/>
            </a:ext>
          </a:extLst>
        </xdr:cNvPr>
        <xdr:cNvSpPr/>
      </xdr:nvSpPr>
      <xdr:spPr>
        <a:xfrm>
          <a:off x="12134850" y="2157413"/>
          <a:ext cx="1600200" cy="695324"/>
        </a:xfrm>
        <a:prstGeom prst="roundRect">
          <a:avLst/>
        </a:prstGeom>
        <a:solidFill>
          <a:srgbClr val="6883C6"/>
        </a:solidFill>
        <a:ln>
          <a:solidFill>
            <a:srgbClr val="6883C6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l-PL" sz="1600"/>
            <a:t>Cała historia</a:t>
          </a:r>
          <a:r>
            <a:rPr lang="pl-PL" sz="1600" baseline="0"/>
            <a:t> wydatków PDF</a:t>
          </a:r>
          <a:endParaRPr lang="pl-PL" sz="1600"/>
        </a:p>
      </xdr:txBody>
    </xdr:sp>
    <xdr:clientData/>
  </xdr:twoCellAnchor>
  <xdr:twoCellAnchor>
    <xdr:from>
      <xdr:col>18</xdr:col>
      <xdr:colOff>38100</xdr:colOff>
      <xdr:row>9</xdr:row>
      <xdr:rowOff>100013</xdr:rowOff>
    </xdr:from>
    <xdr:to>
      <xdr:col>20</xdr:col>
      <xdr:colOff>19050</xdr:colOff>
      <xdr:row>12</xdr:row>
      <xdr:rowOff>223837</xdr:rowOff>
    </xdr:to>
    <xdr:sp macro="[0]!RaportWydatkiWord" textlink="">
      <xdr:nvSpPr>
        <xdr:cNvPr id="56" name="Prostokąt: zaokrąglone rogi 55">
          <a:extLst>
            <a:ext uri="{FF2B5EF4-FFF2-40B4-BE49-F238E27FC236}">
              <a16:creationId xmlns:a16="http://schemas.microsoft.com/office/drawing/2014/main" id="{9822C013-209C-D396-FC2B-7C85697CE4B1}"/>
            </a:ext>
          </a:extLst>
        </xdr:cNvPr>
        <xdr:cNvSpPr/>
      </xdr:nvSpPr>
      <xdr:spPr>
        <a:xfrm>
          <a:off x="13906500" y="2157413"/>
          <a:ext cx="2028825" cy="695324"/>
        </a:xfrm>
        <a:prstGeom prst="roundRect">
          <a:avLst/>
        </a:prstGeom>
        <a:solidFill>
          <a:srgbClr val="6883C6"/>
        </a:solidFill>
        <a:ln>
          <a:solidFill>
            <a:srgbClr val="6883C6"/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l-PL" sz="1600"/>
            <a:t>Historia</a:t>
          </a:r>
          <a:r>
            <a:rPr lang="pl-PL" sz="1600" baseline="0"/>
            <a:t> miesięcznych wydatków WORD</a:t>
          </a:r>
          <a:endParaRPr lang="pl-PL" sz="1600"/>
        </a:p>
      </xdr:txBody>
    </xdr:sp>
    <xdr:clientData/>
  </xdr:twoCellAnchor>
  <xdr:twoCellAnchor>
    <xdr:from>
      <xdr:col>5</xdr:col>
      <xdr:colOff>171449</xdr:colOff>
      <xdr:row>30</xdr:row>
      <xdr:rowOff>161925</xdr:rowOff>
    </xdr:from>
    <xdr:to>
      <xdr:col>10</xdr:col>
      <xdr:colOff>676275</xdr:colOff>
      <xdr:row>43</xdr:row>
      <xdr:rowOff>123825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2" name="Wykres 41">
              <a:extLst>
                <a:ext uri="{FF2B5EF4-FFF2-40B4-BE49-F238E27FC236}">
                  <a16:creationId xmlns:a16="http://schemas.microsoft.com/office/drawing/2014/main" id="{B239BEA8-A490-9538-7E58-879B753D2F9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76774" y="7229475"/>
              <a:ext cx="4743451" cy="31623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wykres jest niedostępny w Twojej wersji programu Excel.
Edytowanie tego kształtu lub zapisanie tego skoroszytu w innym formacie pliku spowoduje trwałe uszkodzenie wykresu.</a:t>
              </a:r>
            </a:p>
          </xdr:txBody>
        </xdr:sp>
      </mc:Fallback>
    </mc:AlternateContent>
    <xdr:clientData/>
  </xdr:twoCellAnchor>
  <xdr:twoCellAnchor>
    <xdr:from>
      <xdr:col>9</xdr:col>
      <xdr:colOff>161924</xdr:colOff>
      <xdr:row>57</xdr:row>
      <xdr:rowOff>180975</xdr:rowOff>
    </xdr:from>
    <xdr:to>
      <xdr:col>19</xdr:col>
      <xdr:colOff>885825</xdr:colOff>
      <xdr:row>69</xdr:row>
      <xdr:rowOff>228600</xdr:rowOff>
    </xdr:to>
    <xdr:graphicFrame macro="">
      <xdr:nvGraphicFramePr>
        <xdr:cNvPr id="59" name="Wykres 58">
          <a:extLst>
            <a:ext uri="{FF2B5EF4-FFF2-40B4-BE49-F238E27FC236}">
              <a16:creationId xmlns:a16="http://schemas.microsoft.com/office/drawing/2014/main" id="{4FB82940-B107-F64B-01C5-0DC6364F04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514350</xdr:colOff>
      <xdr:row>4</xdr:row>
      <xdr:rowOff>9525</xdr:rowOff>
    </xdr:from>
    <xdr:to>
      <xdr:col>2</xdr:col>
      <xdr:colOff>9525</xdr:colOff>
      <xdr:row>12</xdr:row>
      <xdr:rowOff>104775</xdr:rowOff>
    </xdr:to>
    <xdr:grpSp>
      <xdr:nvGrpSpPr>
        <xdr:cNvPr id="67" name="LataGrupa" hidden="1">
          <a:extLst>
            <a:ext uri="{FF2B5EF4-FFF2-40B4-BE49-F238E27FC236}">
              <a16:creationId xmlns:a16="http://schemas.microsoft.com/office/drawing/2014/main" id="{813B65AA-A74D-BC2F-6E6C-2FC6E29FFC7A}"/>
            </a:ext>
          </a:extLst>
        </xdr:cNvPr>
        <xdr:cNvGrpSpPr/>
      </xdr:nvGrpSpPr>
      <xdr:grpSpPr>
        <a:xfrm>
          <a:off x="514350" y="1123950"/>
          <a:ext cx="1190625" cy="1619250"/>
          <a:chOff x="514350" y="1114425"/>
          <a:chExt cx="1190625" cy="1619250"/>
        </a:xfrm>
      </xdr:grpSpPr>
      <xdr:sp macro="[0]!Rok_Wybrany" textlink="">
        <xdr:nvSpPr>
          <xdr:cNvPr id="2" name="2020" hidden="1">
            <a:extLst>
              <a:ext uri="{FF2B5EF4-FFF2-40B4-BE49-F238E27FC236}">
                <a16:creationId xmlns:a16="http://schemas.microsoft.com/office/drawing/2014/main" id="{4F6E06FC-0E10-5240-488D-7C38BF450770}"/>
              </a:ext>
            </a:extLst>
          </xdr:cNvPr>
          <xdr:cNvSpPr/>
        </xdr:nvSpPr>
        <xdr:spPr>
          <a:xfrm>
            <a:off x="514350" y="1114425"/>
            <a:ext cx="1190625" cy="323850"/>
          </a:xfrm>
          <a:prstGeom prst="rect">
            <a:avLst/>
          </a:prstGeom>
          <a:solidFill>
            <a:srgbClr val="6883C6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l-PL" sz="1800" b="0">
                <a:latin typeface="+mn-lt"/>
              </a:rPr>
              <a:t>2020</a:t>
            </a:r>
          </a:p>
        </xdr:txBody>
      </xdr:sp>
      <xdr:sp macro="[0]!Rok_Wybrany" textlink="">
        <xdr:nvSpPr>
          <xdr:cNvPr id="8" name="2021" hidden="1">
            <a:extLst>
              <a:ext uri="{FF2B5EF4-FFF2-40B4-BE49-F238E27FC236}">
                <a16:creationId xmlns:a16="http://schemas.microsoft.com/office/drawing/2014/main" id="{86F1E52C-2222-2215-1207-C9C2E0FB9F69}"/>
              </a:ext>
            </a:extLst>
          </xdr:cNvPr>
          <xdr:cNvSpPr/>
        </xdr:nvSpPr>
        <xdr:spPr>
          <a:xfrm>
            <a:off x="514350" y="1438275"/>
            <a:ext cx="1190625" cy="323850"/>
          </a:xfrm>
          <a:prstGeom prst="rect">
            <a:avLst/>
          </a:prstGeom>
          <a:solidFill>
            <a:srgbClr val="6883C6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l-PL" sz="1800" b="0">
                <a:latin typeface="+mn-lt"/>
              </a:rPr>
              <a:t>2021</a:t>
            </a:r>
          </a:p>
        </xdr:txBody>
      </xdr:sp>
      <xdr:sp macro="[0]!Rok_Wybrany" textlink="">
        <xdr:nvSpPr>
          <xdr:cNvPr id="12" name="2022" hidden="1">
            <a:extLst>
              <a:ext uri="{FF2B5EF4-FFF2-40B4-BE49-F238E27FC236}">
                <a16:creationId xmlns:a16="http://schemas.microsoft.com/office/drawing/2014/main" id="{4511EB50-66BD-E1D8-59B4-929BB3FC426F}"/>
              </a:ext>
            </a:extLst>
          </xdr:cNvPr>
          <xdr:cNvSpPr/>
        </xdr:nvSpPr>
        <xdr:spPr>
          <a:xfrm>
            <a:off x="514350" y="1762125"/>
            <a:ext cx="1190625" cy="323850"/>
          </a:xfrm>
          <a:prstGeom prst="rect">
            <a:avLst/>
          </a:prstGeom>
          <a:solidFill>
            <a:srgbClr val="6883C6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l-PL" sz="1800" b="0">
                <a:latin typeface="+mn-lt"/>
              </a:rPr>
              <a:t>2022</a:t>
            </a:r>
          </a:p>
        </xdr:txBody>
      </xdr:sp>
      <xdr:sp macro="[0]!Rok_Wybrany" textlink="">
        <xdr:nvSpPr>
          <xdr:cNvPr id="14" name="2023" hidden="1">
            <a:extLst>
              <a:ext uri="{FF2B5EF4-FFF2-40B4-BE49-F238E27FC236}">
                <a16:creationId xmlns:a16="http://schemas.microsoft.com/office/drawing/2014/main" id="{093091B5-F255-3181-D893-99A5BF3B5018}"/>
              </a:ext>
            </a:extLst>
          </xdr:cNvPr>
          <xdr:cNvSpPr/>
        </xdr:nvSpPr>
        <xdr:spPr>
          <a:xfrm>
            <a:off x="514350" y="2085975"/>
            <a:ext cx="1190625" cy="323850"/>
          </a:xfrm>
          <a:prstGeom prst="rect">
            <a:avLst/>
          </a:prstGeom>
          <a:solidFill>
            <a:srgbClr val="6883C6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l-PL" sz="1800" b="0">
                <a:latin typeface="+mn-lt"/>
              </a:rPr>
              <a:t>2023</a:t>
            </a:r>
          </a:p>
        </xdr:txBody>
      </xdr:sp>
      <xdr:sp macro="[0]!Rok_Wybrany" textlink="">
        <xdr:nvSpPr>
          <xdr:cNvPr id="65" name="2024" hidden="1">
            <a:extLst>
              <a:ext uri="{FF2B5EF4-FFF2-40B4-BE49-F238E27FC236}">
                <a16:creationId xmlns:a16="http://schemas.microsoft.com/office/drawing/2014/main" id="{49E97A0D-AC28-43F6-9270-440E007F78E3}"/>
              </a:ext>
            </a:extLst>
          </xdr:cNvPr>
          <xdr:cNvSpPr/>
        </xdr:nvSpPr>
        <xdr:spPr>
          <a:xfrm>
            <a:off x="514350" y="2409825"/>
            <a:ext cx="1190625" cy="323850"/>
          </a:xfrm>
          <a:prstGeom prst="rect">
            <a:avLst/>
          </a:prstGeom>
          <a:solidFill>
            <a:srgbClr val="6883C6"/>
          </a:solidFill>
          <a:ln w="12700" cap="flat" cmpd="sng" algn="ctr">
            <a:solidFill>
              <a:sysClr val="window" lastClr="FFFFFF"/>
            </a:solidFill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pl-PL" sz="18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2024</a:t>
            </a:r>
          </a:p>
        </xdr:txBody>
      </xdr:sp>
    </xdr:grpSp>
    <xdr:clientData/>
  </xdr:twoCellAnchor>
  <xdr:twoCellAnchor>
    <xdr:from>
      <xdr:col>15</xdr:col>
      <xdr:colOff>753291</xdr:colOff>
      <xdr:row>96</xdr:row>
      <xdr:rowOff>19048</xdr:rowOff>
    </xdr:from>
    <xdr:to>
      <xdr:col>19</xdr:col>
      <xdr:colOff>922066</xdr:colOff>
      <xdr:row>98</xdr:row>
      <xdr:rowOff>47625</xdr:rowOff>
    </xdr:to>
    <xdr:sp macro="[0]!Wydatki_Module.KalkulatorKredytowy" textlink="">
      <xdr:nvSpPr>
        <xdr:cNvPr id="63" name="Prostokąt: zaokrąglone rogi 62">
          <a:extLst>
            <a:ext uri="{FF2B5EF4-FFF2-40B4-BE49-F238E27FC236}">
              <a16:creationId xmlns:a16="http://schemas.microsoft.com/office/drawing/2014/main" id="{2D89F23A-8EB2-49CF-9E70-73A07010749A}"/>
            </a:ext>
          </a:extLst>
        </xdr:cNvPr>
        <xdr:cNvSpPr/>
      </xdr:nvSpPr>
      <xdr:spPr>
        <a:xfrm>
          <a:off x="13754916" y="22555198"/>
          <a:ext cx="3635875" cy="409577"/>
        </a:xfrm>
        <a:prstGeom prst="roundRect">
          <a:avLst/>
        </a:prstGeom>
        <a:solidFill>
          <a:srgbClr val="6883C6"/>
        </a:solidFill>
        <a:ln w="12700" cap="flat" cmpd="sng" algn="ctr">
          <a:solidFill>
            <a:srgbClr val="6883C6"/>
          </a:solidFill>
          <a:prstDash val="solid"/>
          <a:miter lim="800000"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l-PL" sz="2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Kalkulator kredytowy</a:t>
          </a:r>
        </a:p>
      </xdr:txBody>
    </xdr:sp>
    <xdr:clientData/>
  </xdr:twoCellAnchor>
  <xdr:twoCellAnchor>
    <xdr:from>
      <xdr:col>15</xdr:col>
      <xdr:colOff>757009</xdr:colOff>
      <xdr:row>92</xdr:row>
      <xdr:rowOff>0</xdr:rowOff>
    </xdr:from>
    <xdr:to>
      <xdr:col>19</xdr:col>
      <xdr:colOff>918347</xdr:colOff>
      <xdr:row>95</xdr:row>
      <xdr:rowOff>38100</xdr:rowOff>
    </xdr:to>
    <xdr:sp macro="[0]!Wydatki_Module.KalkulatorInwestycji" textlink="">
      <xdr:nvSpPr>
        <xdr:cNvPr id="64" name="Prostokąt: zaokrąglone rogi 63">
          <a:extLst>
            <a:ext uri="{FF2B5EF4-FFF2-40B4-BE49-F238E27FC236}">
              <a16:creationId xmlns:a16="http://schemas.microsoft.com/office/drawing/2014/main" id="{9B0C78B1-6BE9-4AE9-9EA2-2CEBC8A7B2A9}"/>
            </a:ext>
          </a:extLst>
        </xdr:cNvPr>
        <xdr:cNvSpPr/>
      </xdr:nvSpPr>
      <xdr:spPr>
        <a:xfrm>
          <a:off x="13758634" y="21774150"/>
          <a:ext cx="3628438" cy="609600"/>
        </a:xfrm>
        <a:prstGeom prst="roundRect">
          <a:avLst/>
        </a:prstGeom>
        <a:solidFill>
          <a:srgbClr val="6883C6"/>
        </a:solidFill>
        <a:ln w="12700" cap="flat" cmpd="sng" algn="ctr">
          <a:solidFill>
            <a:srgbClr val="6883C6"/>
          </a:solidFill>
          <a:prstDash val="solid"/>
          <a:miter lim="800000"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l-PL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Kalkulator inwestycji/ oszczędności</a:t>
          </a:r>
        </a:p>
      </xdr:txBody>
    </xdr:sp>
    <xdr:clientData/>
  </xdr:twoCellAnchor>
  <xdr:twoCellAnchor>
    <xdr:from>
      <xdr:col>8</xdr:col>
      <xdr:colOff>505970</xdr:colOff>
      <xdr:row>82</xdr:row>
      <xdr:rowOff>127</xdr:rowOff>
    </xdr:from>
    <xdr:to>
      <xdr:col>13</xdr:col>
      <xdr:colOff>8381</xdr:colOff>
      <xdr:row>98</xdr:row>
      <xdr:rowOff>9525</xdr:rowOff>
    </xdr:to>
    <xdr:grpSp>
      <xdr:nvGrpSpPr>
        <xdr:cNvPr id="171" name="Grupa 170">
          <a:extLst>
            <a:ext uri="{FF2B5EF4-FFF2-40B4-BE49-F238E27FC236}">
              <a16:creationId xmlns:a16="http://schemas.microsoft.com/office/drawing/2014/main" id="{1D3180C2-080D-2368-7F75-6C915FEDD1DE}"/>
            </a:ext>
          </a:extLst>
        </xdr:cNvPr>
        <xdr:cNvGrpSpPr/>
      </xdr:nvGrpSpPr>
      <xdr:grpSpPr>
        <a:xfrm>
          <a:off x="7554470" y="19316827"/>
          <a:ext cx="3845811" cy="3619373"/>
          <a:chOff x="8691949" y="19040602"/>
          <a:chExt cx="3845811" cy="3428873"/>
        </a:xfrm>
      </xdr:grpSpPr>
      <xdr:sp macro="" textlink="$T$84">
        <xdr:nvSpPr>
          <xdr:cNvPr id="142" name="pole tekstowe 141">
            <a:extLst>
              <a:ext uri="{FF2B5EF4-FFF2-40B4-BE49-F238E27FC236}">
                <a16:creationId xmlns:a16="http://schemas.microsoft.com/office/drawing/2014/main" id="{7C595A30-D9B2-4DA9-B26B-37D0B2909598}"/>
              </a:ext>
            </a:extLst>
          </xdr:cNvPr>
          <xdr:cNvSpPr txBox="1"/>
        </xdr:nvSpPr>
        <xdr:spPr>
          <a:xfrm>
            <a:off x="8793504" y="20038924"/>
            <a:ext cx="1039079" cy="462268"/>
          </a:xfrm>
          <a:prstGeom prst="rect">
            <a:avLst/>
          </a:prstGeom>
          <a:solidFill>
            <a:sysClr val="window" lastClr="FFFFFF"/>
          </a:solidFill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6F82C46-809A-4A42-A001-CAE43A9C06AC}" type="TxLink">
              <a:rPr kumimoji="0" lang="en-US" sz="12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>
                  <a:outerShdw blurRad="38100" dist="12700" dir="2700000" algn="tl" rotWithShape="0">
                    <a:prstClr val="black">
                      <a:alpha val="40000"/>
                    </a:prstClr>
                  </a:outerShdw>
                </a:effectLst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-   zł </a:t>
            </a:fld>
            <a:endParaRPr kumimoji="0" lang="pl-PL" sz="13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>
                <a:outerShdw blurRad="38100" dist="12700" dir="2700000" algn="tl" rotWithShape="0">
                  <a:prstClr val="black">
                    <a:alpha val="40000"/>
                  </a:prstClr>
                </a:outerShdw>
              </a:effectLst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$T$85">
        <xdr:nvSpPr>
          <xdr:cNvPr id="143" name="pole tekstowe 142">
            <a:extLst>
              <a:ext uri="{FF2B5EF4-FFF2-40B4-BE49-F238E27FC236}">
                <a16:creationId xmlns:a16="http://schemas.microsoft.com/office/drawing/2014/main" id="{440109E5-D049-4025-8476-C21899B477D1}"/>
              </a:ext>
            </a:extLst>
          </xdr:cNvPr>
          <xdr:cNvSpPr txBox="1"/>
        </xdr:nvSpPr>
        <xdr:spPr>
          <a:xfrm>
            <a:off x="10158881" y="20038924"/>
            <a:ext cx="1143854" cy="462268"/>
          </a:xfrm>
          <a:prstGeom prst="rect">
            <a:avLst/>
          </a:prstGeom>
          <a:solidFill>
            <a:sysClr val="window" lastClr="FFFFFF"/>
          </a:solidFill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C47B07B8-F2E4-4940-9699-BB3B3D6717C3}" type="TxLink">
              <a:rPr kumimoji="0" lang="en-US" sz="12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>
                  <a:outerShdw blurRad="38100" dist="12700" dir="2700000" algn="tl" rotWithShape="0">
                    <a:prstClr val="black">
                      <a:alpha val="40000"/>
                    </a:prstClr>
                  </a:outerShdw>
                </a:effectLst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45,00 zł </a:t>
            </a:fld>
            <a:endParaRPr kumimoji="0" lang="pl-PL" sz="13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>
                <a:outerShdw blurRad="38100" dist="12700" dir="2700000" algn="tl" rotWithShape="0">
                  <a:prstClr val="black">
                    <a:alpha val="40000"/>
                  </a:prstClr>
                </a:outerShdw>
              </a:effectLst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$T$86">
        <xdr:nvSpPr>
          <xdr:cNvPr id="144" name="pole tekstowe 143">
            <a:extLst>
              <a:ext uri="{FF2B5EF4-FFF2-40B4-BE49-F238E27FC236}">
                <a16:creationId xmlns:a16="http://schemas.microsoft.com/office/drawing/2014/main" id="{4B682A9C-F394-4147-8DD8-90D3B7BC60F9}"/>
              </a:ext>
            </a:extLst>
          </xdr:cNvPr>
          <xdr:cNvSpPr txBox="1"/>
        </xdr:nvSpPr>
        <xdr:spPr>
          <a:xfrm>
            <a:off x="11568577" y="20038924"/>
            <a:ext cx="867629" cy="462268"/>
          </a:xfrm>
          <a:prstGeom prst="rect">
            <a:avLst/>
          </a:prstGeom>
          <a:solidFill>
            <a:sysClr val="window" lastClr="FFFFFF"/>
          </a:solidFill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BEE131D9-2529-47B8-AD40-7C82C63E114E}" type="TxLink">
              <a:rPr kumimoji="0" lang="en-US" sz="12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>
                  <a:outerShdw blurRad="38100" dist="12700" dir="2700000" algn="tl" rotWithShape="0">
                    <a:prstClr val="black">
                      <a:alpha val="40000"/>
                    </a:prstClr>
                  </a:outerShdw>
                </a:effectLst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-   zł </a:t>
            </a:fld>
            <a:endParaRPr kumimoji="0" lang="pl-PL" sz="13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>
                <a:outerShdw blurRad="38100" dist="12700" dir="2700000" algn="tl" rotWithShape="0">
                  <a:prstClr val="black">
                    <a:alpha val="40000"/>
                  </a:prstClr>
                </a:outerShdw>
              </a:effectLst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$T$87">
        <xdr:nvSpPr>
          <xdr:cNvPr id="145" name="pole tekstowe 144">
            <a:extLst>
              <a:ext uri="{FF2B5EF4-FFF2-40B4-BE49-F238E27FC236}">
                <a16:creationId xmlns:a16="http://schemas.microsoft.com/office/drawing/2014/main" id="{FE702949-16A1-4F2C-A13E-79C673E71279}"/>
              </a:ext>
            </a:extLst>
          </xdr:cNvPr>
          <xdr:cNvSpPr txBox="1"/>
        </xdr:nvSpPr>
        <xdr:spPr>
          <a:xfrm>
            <a:off x="8793504" y="21824547"/>
            <a:ext cx="1039079" cy="305298"/>
          </a:xfrm>
          <a:prstGeom prst="rect">
            <a:avLst/>
          </a:prstGeom>
          <a:solidFill>
            <a:sysClr val="window" lastClr="FFFFFF"/>
          </a:solidFill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1BAD7DF4-E466-49B2-BC07-C1E78CA2A804}" type="TxLink">
              <a:rPr kumimoji="0" lang="en-US" sz="12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>
                  <a:outerShdw blurRad="38100" dist="12700" dir="2700000" algn="tl" rotWithShape="0">
                    <a:prstClr val="black">
                      <a:alpha val="40000"/>
                    </a:prstClr>
                  </a:outerShdw>
                </a:effectLst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100,00 zł </a:t>
            </a:fld>
            <a:endParaRPr kumimoji="0" lang="pl-PL" sz="13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>
                <a:outerShdw blurRad="38100" dist="12700" dir="2700000" algn="tl" rotWithShape="0">
                  <a:prstClr val="black">
                    <a:alpha val="40000"/>
                  </a:prstClr>
                </a:outerShdw>
              </a:effectLst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$T$88">
        <xdr:nvSpPr>
          <xdr:cNvPr id="146" name="pole tekstowe 145">
            <a:extLst>
              <a:ext uri="{FF2B5EF4-FFF2-40B4-BE49-F238E27FC236}">
                <a16:creationId xmlns:a16="http://schemas.microsoft.com/office/drawing/2014/main" id="{068BED51-BFCE-498E-86BE-9A6D3B97C082}"/>
              </a:ext>
            </a:extLst>
          </xdr:cNvPr>
          <xdr:cNvSpPr txBox="1"/>
        </xdr:nvSpPr>
        <xdr:spPr>
          <a:xfrm>
            <a:off x="10158881" y="21824547"/>
            <a:ext cx="1143854" cy="305298"/>
          </a:xfrm>
          <a:prstGeom prst="rect">
            <a:avLst/>
          </a:prstGeom>
          <a:solidFill>
            <a:sysClr val="window" lastClr="FFFFFF"/>
          </a:solidFill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5E36556-9C0C-4271-B438-AE50D50109ED}" type="TxLink">
              <a:rPr kumimoji="0" lang="en-US" sz="12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>
                  <a:outerShdw blurRad="38100" dist="12700" dir="2700000" algn="tl" rotWithShape="0">
                    <a:prstClr val="black">
                      <a:alpha val="40000"/>
                    </a:prstClr>
                  </a:outerShdw>
                </a:effectLst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350,00 zł </a:t>
            </a:fld>
            <a:endParaRPr kumimoji="0" lang="pl-PL" sz="13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>
                <a:outerShdw blurRad="38100" dist="12700" dir="2700000" algn="tl" rotWithShape="0">
                  <a:prstClr val="black">
                    <a:alpha val="40000"/>
                  </a:prstClr>
                </a:outerShdw>
              </a:effectLst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$T$89">
        <xdr:nvSpPr>
          <xdr:cNvPr id="147" name="pole tekstowe 146">
            <a:extLst>
              <a:ext uri="{FF2B5EF4-FFF2-40B4-BE49-F238E27FC236}">
                <a16:creationId xmlns:a16="http://schemas.microsoft.com/office/drawing/2014/main" id="{79BB4AAB-BBC4-4104-B478-9EBE817C64F3}"/>
              </a:ext>
            </a:extLst>
          </xdr:cNvPr>
          <xdr:cNvSpPr txBox="1"/>
        </xdr:nvSpPr>
        <xdr:spPr>
          <a:xfrm>
            <a:off x="11568577" y="21824547"/>
            <a:ext cx="867629" cy="305298"/>
          </a:xfrm>
          <a:prstGeom prst="rect">
            <a:avLst/>
          </a:prstGeom>
          <a:solidFill>
            <a:sysClr val="window" lastClr="FFFFFF"/>
          </a:solidFill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1CB2C86D-5D5F-42BC-8F30-D453CA8F2B13}" type="TxLink">
              <a:rPr kumimoji="0" lang="en-US" sz="12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>
                  <a:outerShdw blurRad="38100" dist="12700" dir="2700000" algn="tl" rotWithShape="0">
                    <a:prstClr val="black">
                      <a:alpha val="40000"/>
                    </a:prstClr>
                  </a:outerShdw>
                </a:effectLst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3 500,00 zł </a:t>
            </a:fld>
            <a:endParaRPr kumimoji="0" lang="pl-PL" sz="13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>
                <a:outerShdw blurRad="38100" dist="12700" dir="2700000" algn="tl" rotWithShape="0">
                  <a:prstClr val="black">
                    <a:alpha val="40000"/>
                  </a:prstClr>
                </a:outerShdw>
              </a:effectLst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8" name="pole tekstowe 147">
            <a:extLst>
              <a:ext uri="{FF2B5EF4-FFF2-40B4-BE49-F238E27FC236}">
                <a16:creationId xmlns:a16="http://schemas.microsoft.com/office/drawing/2014/main" id="{8ED0E75F-0417-4E86-B6DC-EC458E701E33}"/>
              </a:ext>
            </a:extLst>
          </xdr:cNvPr>
          <xdr:cNvSpPr txBox="1"/>
        </xdr:nvSpPr>
        <xdr:spPr>
          <a:xfrm>
            <a:off x="8691949" y="20399032"/>
            <a:ext cx="1242188" cy="491964"/>
          </a:xfrm>
          <a:prstGeom prst="rect">
            <a:avLst/>
          </a:prstGeom>
          <a:solidFill>
            <a:sysClr val="window" lastClr="FFFFFF"/>
          </a:solidFill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pl-PL" sz="105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>
                  <a:outerShdw blurRad="38100" dist="12700" dir="2700000" algn="tl" rotWithShape="0">
                    <a:prstClr val="black">
                      <a:alpha val="40000"/>
                    </a:prstClr>
                  </a:outerShdw>
                </a:effectLst>
                <a:uLnTx/>
                <a:uFillTx/>
                <a:latin typeface="Calibri" panose="020F0502020204030204"/>
                <a:ea typeface="+mn-ea"/>
                <a:cs typeface="+mn-cs"/>
              </a:rPr>
              <a:t>Wynagrodzenie, faktury</a:t>
            </a:r>
          </a:p>
        </xdr:txBody>
      </xdr:sp>
      <xdr:sp macro="" textlink="">
        <xdr:nvSpPr>
          <xdr:cNvPr id="149" name="pole tekstowe 148">
            <a:extLst>
              <a:ext uri="{FF2B5EF4-FFF2-40B4-BE49-F238E27FC236}">
                <a16:creationId xmlns:a16="http://schemas.microsoft.com/office/drawing/2014/main" id="{51768F39-E68A-4C23-9A57-FC0D5213CBDC}"/>
              </a:ext>
            </a:extLst>
          </xdr:cNvPr>
          <xdr:cNvSpPr txBox="1"/>
        </xdr:nvSpPr>
        <xdr:spPr>
          <a:xfrm>
            <a:off x="10057327" y="20486399"/>
            <a:ext cx="1346963" cy="317231"/>
          </a:xfrm>
          <a:prstGeom prst="rect">
            <a:avLst/>
          </a:prstGeom>
          <a:solidFill>
            <a:sysClr val="window" lastClr="FFFFFF"/>
          </a:solidFill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pl-PL" sz="105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>
                  <a:outerShdw blurRad="38100" dist="12700" dir="2700000" algn="tl" rotWithShape="0">
                    <a:prstClr val="black">
                      <a:alpha val="40000"/>
                    </a:prstClr>
                  </a:outerShdw>
                </a:effectLst>
                <a:uLnTx/>
                <a:uFillTx/>
                <a:latin typeface="Calibri" panose="020F0502020204030204"/>
                <a:ea typeface="+mn-ea"/>
                <a:cs typeface="+mn-cs"/>
              </a:rPr>
              <a:t>Odsetki, dywidendy</a:t>
            </a:r>
          </a:p>
        </xdr:txBody>
      </xdr:sp>
      <xdr:sp macro="" textlink="">
        <xdr:nvSpPr>
          <xdr:cNvPr id="150" name="pole tekstowe 149">
            <a:extLst>
              <a:ext uri="{FF2B5EF4-FFF2-40B4-BE49-F238E27FC236}">
                <a16:creationId xmlns:a16="http://schemas.microsoft.com/office/drawing/2014/main" id="{7E1A02FE-5908-45DF-BC60-FD05430B67A9}"/>
              </a:ext>
            </a:extLst>
          </xdr:cNvPr>
          <xdr:cNvSpPr txBox="1"/>
        </xdr:nvSpPr>
        <xdr:spPr>
          <a:xfrm>
            <a:off x="11467022" y="20507682"/>
            <a:ext cx="1070738" cy="274664"/>
          </a:xfrm>
          <a:prstGeom prst="rect">
            <a:avLst/>
          </a:prstGeom>
          <a:solidFill>
            <a:sysClr val="window" lastClr="FFFFFF"/>
          </a:solidFill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pl-PL" sz="105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>
                  <a:outerShdw blurRad="38100" dist="12700" dir="2700000" algn="tl" rotWithShape="0">
                    <a:prstClr val="black">
                      <a:alpha val="40000"/>
                    </a:prstClr>
                  </a:outerShdw>
                </a:effectLst>
                <a:uLnTx/>
                <a:uFillTx/>
                <a:latin typeface="Calibri" panose="020F0502020204030204"/>
                <a:ea typeface="+mn-ea"/>
                <a:cs typeface="+mn-cs"/>
              </a:rPr>
              <a:t>Prezenty</a:t>
            </a:r>
          </a:p>
        </xdr:txBody>
      </xdr:sp>
      <xdr:sp macro="" textlink="">
        <xdr:nvSpPr>
          <xdr:cNvPr id="151" name="pole tekstowe 150">
            <a:extLst>
              <a:ext uri="{FF2B5EF4-FFF2-40B4-BE49-F238E27FC236}">
                <a16:creationId xmlns:a16="http://schemas.microsoft.com/office/drawing/2014/main" id="{2FCAA503-F4F2-483A-AA32-BAE1E59FE0B6}"/>
              </a:ext>
            </a:extLst>
          </xdr:cNvPr>
          <xdr:cNvSpPr txBox="1"/>
        </xdr:nvSpPr>
        <xdr:spPr>
          <a:xfrm>
            <a:off x="8691949" y="22231426"/>
            <a:ext cx="1242188" cy="218999"/>
          </a:xfrm>
          <a:prstGeom prst="rect">
            <a:avLst/>
          </a:prstGeom>
          <a:solidFill>
            <a:sysClr val="window" lastClr="FFFFFF"/>
          </a:solidFill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pl-PL" sz="105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>
                  <a:outerShdw blurRad="38100" dist="12700" dir="2700000" algn="tl" rotWithShape="0">
                    <a:prstClr val="black">
                      <a:alpha val="40000"/>
                    </a:prstClr>
                  </a:outerShdw>
                </a:effectLst>
                <a:uLnTx/>
                <a:uFillTx/>
                <a:latin typeface="Calibri" panose="020F0502020204030204"/>
                <a:ea typeface="+mn-ea"/>
                <a:cs typeface="+mn-cs"/>
              </a:rPr>
              <a:t>Sprzedaż</a:t>
            </a:r>
          </a:p>
        </xdr:txBody>
      </xdr:sp>
      <xdr:sp macro="" textlink="">
        <xdr:nvSpPr>
          <xdr:cNvPr id="152" name="pole tekstowe 151">
            <a:extLst>
              <a:ext uri="{FF2B5EF4-FFF2-40B4-BE49-F238E27FC236}">
                <a16:creationId xmlns:a16="http://schemas.microsoft.com/office/drawing/2014/main" id="{12FAAE31-3E3E-4D48-97BB-F480979CD6B3}"/>
              </a:ext>
            </a:extLst>
          </xdr:cNvPr>
          <xdr:cNvSpPr txBox="1"/>
        </xdr:nvSpPr>
        <xdr:spPr>
          <a:xfrm>
            <a:off x="10057327" y="22212376"/>
            <a:ext cx="1346963" cy="257099"/>
          </a:xfrm>
          <a:prstGeom prst="rect">
            <a:avLst/>
          </a:prstGeom>
          <a:solidFill>
            <a:sysClr val="window" lastClr="FFFFFF"/>
          </a:solidFill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pl-PL" sz="105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>
                  <a:outerShdw blurRad="38100" dist="12700" dir="2700000" algn="tl" rotWithShape="0">
                    <a:prstClr val="black">
                      <a:alpha val="40000"/>
                    </a:prstClr>
                  </a:outerShdw>
                </a:effectLst>
                <a:uLnTx/>
                <a:uFillTx/>
                <a:latin typeface="Calibri" panose="020F0502020204030204"/>
                <a:ea typeface="+mn-ea"/>
                <a:cs typeface="+mn-cs"/>
              </a:rPr>
              <a:t>Datki na dziecko</a:t>
            </a:r>
          </a:p>
        </xdr:txBody>
      </xdr:sp>
      <xdr:sp macro="" textlink="">
        <xdr:nvSpPr>
          <xdr:cNvPr id="153" name="pole tekstowe 152">
            <a:extLst>
              <a:ext uri="{FF2B5EF4-FFF2-40B4-BE49-F238E27FC236}">
                <a16:creationId xmlns:a16="http://schemas.microsoft.com/office/drawing/2014/main" id="{47A1A8FE-8A88-4602-A375-F9B4B732F018}"/>
              </a:ext>
            </a:extLst>
          </xdr:cNvPr>
          <xdr:cNvSpPr txBox="1"/>
        </xdr:nvSpPr>
        <xdr:spPr>
          <a:xfrm>
            <a:off x="11467022" y="22217138"/>
            <a:ext cx="1070738" cy="247574"/>
          </a:xfrm>
          <a:prstGeom prst="rect">
            <a:avLst/>
          </a:prstGeom>
          <a:solidFill>
            <a:sysClr val="window" lastClr="FFFFFF"/>
          </a:solidFill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pl-PL" sz="105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>
                  <a:outerShdw blurRad="38100" dist="12700" dir="2700000" algn="tl" rotWithShape="0">
                    <a:prstClr val="black">
                      <a:alpha val="40000"/>
                    </a:prstClr>
                  </a:outerShdw>
                </a:effectLst>
                <a:uLnTx/>
                <a:uFillTx/>
                <a:latin typeface="Calibri" panose="020F0502020204030204"/>
                <a:ea typeface="+mn-ea"/>
                <a:cs typeface="+mn-cs"/>
              </a:rPr>
              <a:t>Opłaty i dotacje</a:t>
            </a:r>
          </a:p>
        </xdr:txBody>
      </xdr:sp>
      <xdr:pic>
        <xdr:nvPicPr>
          <xdr:cNvPr id="155" name="Obraz 154">
            <a:extLst>
              <a:ext uri="{FF2B5EF4-FFF2-40B4-BE49-F238E27FC236}">
                <a16:creationId xmlns:a16="http://schemas.microsoft.com/office/drawing/2014/main" id="{FD80E309-3C73-4A84-E7A8-FA4873056F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993956" y="19048904"/>
            <a:ext cx="638175" cy="735994"/>
          </a:xfrm>
          <a:prstGeom prst="rect">
            <a:avLst/>
          </a:prstGeom>
        </xdr:spPr>
      </xdr:pic>
      <xdr:pic>
        <xdr:nvPicPr>
          <xdr:cNvPr id="157" name="Obraz 156">
            <a:extLst>
              <a:ext uri="{FF2B5EF4-FFF2-40B4-BE49-F238E27FC236}">
                <a16:creationId xmlns:a16="http://schemas.microsoft.com/office/drawing/2014/main" id="{96BF00AF-CEAC-FBBB-9BE2-216C23BFA5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49808" y="19040602"/>
            <a:ext cx="762000" cy="752598"/>
          </a:xfrm>
          <a:prstGeom prst="rect">
            <a:avLst/>
          </a:prstGeom>
        </xdr:spPr>
      </xdr:pic>
      <xdr:pic>
        <xdr:nvPicPr>
          <xdr:cNvPr id="159" name="Obraz 158">
            <a:extLst>
              <a:ext uri="{FF2B5EF4-FFF2-40B4-BE49-F238E27FC236}">
                <a16:creationId xmlns:a16="http://schemas.microsoft.com/office/drawing/2014/main" id="{F330E2D9-9108-4674-BB3E-30A4049C81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707116" y="19073811"/>
            <a:ext cx="590550" cy="686181"/>
          </a:xfrm>
          <a:prstGeom prst="rect">
            <a:avLst/>
          </a:prstGeom>
        </xdr:spPr>
      </xdr:pic>
      <xdr:pic>
        <xdr:nvPicPr>
          <xdr:cNvPr id="161" name="Obraz 160">
            <a:extLst>
              <a:ext uri="{FF2B5EF4-FFF2-40B4-BE49-F238E27FC236}">
                <a16:creationId xmlns:a16="http://schemas.microsoft.com/office/drawing/2014/main" id="{FA588713-B881-E461-E0CD-7690E22A6F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32056" y="21221009"/>
            <a:ext cx="561975" cy="469552"/>
          </a:xfrm>
          <a:prstGeom prst="rect">
            <a:avLst/>
          </a:prstGeom>
        </xdr:spPr>
      </xdr:pic>
      <xdr:pic>
        <xdr:nvPicPr>
          <xdr:cNvPr id="163" name="Obraz 162">
            <a:extLst>
              <a:ext uri="{FF2B5EF4-FFF2-40B4-BE49-F238E27FC236}">
                <a16:creationId xmlns:a16="http://schemas.microsoft.com/office/drawing/2014/main" id="{D74BFA6C-3C96-DF41-B033-C1F6FE9DB27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83146" y="21208556"/>
            <a:ext cx="695325" cy="494458"/>
          </a:xfrm>
          <a:prstGeom prst="rect">
            <a:avLst/>
          </a:prstGeom>
        </xdr:spPr>
      </xdr:pic>
      <xdr:pic>
        <xdr:nvPicPr>
          <xdr:cNvPr id="165" name="Obraz 164">
            <a:extLst>
              <a:ext uri="{FF2B5EF4-FFF2-40B4-BE49-F238E27FC236}">
                <a16:creationId xmlns:a16="http://schemas.microsoft.com/office/drawing/2014/main" id="{1BF15724-7E95-492A-7DD0-0F0FE6BE4AC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92829" y="21199727"/>
            <a:ext cx="619125" cy="51211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74</xdr:row>
      <xdr:rowOff>171449</xdr:rowOff>
    </xdr:from>
    <xdr:to>
      <xdr:col>6</xdr:col>
      <xdr:colOff>657224</xdr:colOff>
      <xdr:row>99</xdr:row>
      <xdr:rowOff>161924</xdr:rowOff>
    </xdr:to>
    <xdr:graphicFrame macro="">
      <xdr:nvGraphicFramePr>
        <xdr:cNvPr id="170" name="Wykres 169">
          <a:extLst>
            <a:ext uri="{FF2B5EF4-FFF2-40B4-BE49-F238E27FC236}">
              <a16:creationId xmlns:a16="http://schemas.microsoft.com/office/drawing/2014/main" id="{0C993E0C-4607-4212-9A47-2F390BEFFA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absolute">
    <xdr:from>
      <xdr:col>7</xdr:col>
      <xdr:colOff>600074</xdr:colOff>
      <xdr:row>75</xdr:row>
      <xdr:rowOff>104775</xdr:rowOff>
    </xdr:from>
    <xdr:to>
      <xdr:col>14</xdr:col>
      <xdr:colOff>38099</xdr:colOff>
      <xdr:row>80</xdr:row>
      <xdr:rowOff>142875</xdr:rowOff>
    </xdr:to>
    <xdr:graphicFrame macro="">
      <xdr:nvGraphicFramePr>
        <xdr:cNvPr id="177" name="Wykres 176">
          <a:extLst>
            <a:ext uri="{FF2B5EF4-FFF2-40B4-BE49-F238E27FC236}">
              <a16:creationId xmlns:a16="http://schemas.microsoft.com/office/drawing/2014/main" id="{9F0109E3-A845-434D-871D-F6DB307C7F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400050</xdr:colOff>
      <xdr:row>101</xdr:row>
      <xdr:rowOff>133350</xdr:rowOff>
    </xdr:from>
    <xdr:to>
      <xdr:col>10</xdr:col>
      <xdr:colOff>828674</xdr:colOff>
      <xdr:row>110</xdr:row>
      <xdr:rowOff>57150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81" name="Wykres 180">
              <a:extLst>
                <a:ext uri="{FF2B5EF4-FFF2-40B4-BE49-F238E27FC236}">
                  <a16:creationId xmlns:a16="http://schemas.microsoft.com/office/drawing/2014/main" id="{B3572BD8-5E90-4285-9F7D-7B7CA6DEE30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905375" y="23631525"/>
              <a:ext cx="4667249" cy="2133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wykres jest niedostępny w Twojej wersji programu Excel.
Edytowanie tego kształtu lub zapisanie tego skoroszytu w innym formacie pliku spowoduje trwałe uszkodzenie wykresu.</a:t>
              </a:r>
            </a:p>
          </xdr:txBody>
        </xdr:sp>
      </mc:Fallback>
    </mc:AlternateContent>
    <xdr:clientData/>
  </xdr:twoCellAnchor>
  <xdr:twoCellAnchor>
    <xdr:from>
      <xdr:col>11</xdr:col>
      <xdr:colOff>76200</xdr:colOff>
      <xdr:row>101</xdr:row>
      <xdr:rowOff>114300</xdr:rowOff>
    </xdr:from>
    <xdr:to>
      <xdr:col>20</xdr:col>
      <xdr:colOff>168750</xdr:colOff>
      <xdr:row>110</xdr:row>
      <xdr:rowOff>57150</xdr:rowOff>
    </xdr:to>
    <xdr:graphicFrame macro="">
      <xdr:nvGraphicFramePr>
        <xdr:cNvPr id="182" name="Wykres 181">
          <a:extLst>
            <a:ext uri="{FF2B5EF4-FFF2-40B4-BE49-F238E27FC236}">
              <a16:creationId xmlns:a16="http://schemas.microsoft.com/office/drawing/2014/main" id="{895153A6-DC61-51F4-FF4B-F96E5FE012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15</xdr:col>
      <xdr:colOff>747190</xdr:colOff>
      <xdr:row>78</xdr:row>
      <xdr:rowOff>47625</xdr:rowOff>
    </xdr:from>
    <xdr:to>
      <xdr:col>20</xdr:col>
      <xdr:colOff>4241</xdr:colOff>
      <xdr:row>81</xdr:row>
      <xdr:rowOff>38100</xdr:rowOff>
    </xdr:to>
    <xdr:sp macro="[0]!DodajWpis" textlink="">
      <xdr:nvSpPr>
        <xdr:cNvPr id="20" name="Prostokąt: zaokrąglone rogi 19">
          <a:extLst>
            <a:ext uri="{FF2B5EF4-FFF2-40B4-BE49-F238E27FC236}">
              <a16:creationId xmlns:a16="http://schemas.microsoft.com/office/drawing/2014/main" id="{F84E9402-08CF-4C8A-ABBA-D14F8F0D7BD1}"/>
            </a:ext>
          </a:extLst>
        </xdr:cNvPr>
        <xdr:cNvSpPr/>
      </xdr:nvSpPr>
      <xdr:spPr>
        <a:xfrm>
          <a:off x="13748815" y="18535650"/>
          <a:ext cx="3648076" cy="609600"/>
        </a:xfrm>
        <a:prstGeom prst="roundRect">
          <a:avLst/>
        </a:prstGeom>
        <a:solidFill>
          <a:srgbClr val="6883C6"/>
        </a:solidFill>
        <a:ln w="12700" cap="flat" cmpd="sng" algn="ctr">
          <a:solidFill>
            <a:srgbClr val="6883C6"/>
          </a:solidFill>
          <a:prstDash val="solid"/>
          <a:miter lim="800000"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l-PL" sz="2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Dodaj wpis</a:t>
          </a:r>
        </a:p>
      </xdr:txBody>
    </xdr:sp>
    <xdr:clientData/>
  </xdr:twoCellAnchor>
  <xdr:twoCellAnchor>
    <xdr:from>
      <xdr:col>16</xdr:col>
      <xdr:colOff>9525</xdr:colOff>
      <xdr:row>33</xdr:row>
      <xdr:rowOff>209548</xdr:rowOff>
    </xdr:from>
    <xdr:to>
      <xdr:col>20</xdr:col>
      <xdr:colOff>16375</xdr:colOff>
      <xdr:row>35</xdr:row>
      <xdr:rowOff>123825</xdr:rowOff>
    </xdr:to>
    <xdr:sp macro="[0]!Wydatki_Module.KalkulatorKredytowy" textlink="">
      <xdr:nvSpPr>
        <xdr:cNvPr id="57" name="Prostokąt: zaokrąglone rogi 56">
          <a:extLst>
            <a:ext uri="{FF2B5EF4-FFF2-40B4-BE49-F238E27FC236}">
              <a16:creationId xmlns:a16="http://schemas.microsoft.com/office/drawing/2014/main" id="{6D109C76-B732-436F-A4A1-FC40A578683F}"/>
            </a:ext>
          </a:extLst>
        </xdr:cNvPr>
        <xdr:cNvSpPr/>
      </xdr:nvSpPr>
      <xdr:spPr>
        <a:xfrm>
          <a:off x="13773150" y="7991473"/>
          <a:ext cx="3635875" cy="409577"/>
        </a:xfrm>
        <a:prstGeom prst="roundRect">
          <a:avLst/>
        </a:prstGeom>
        <a:solidFill>
          <a:srgbClr val="6883C6"/>
        </a:solidFill>
        <a:ln w="12700" cap="flat" cmpd="sng" algn="ctr">
          <a:solidFill>
            <a:srgbClr val="6883C6"/>
          </a:solidFill>
          <a:prstDash val="solid"/>
          <a:miter lim="800000"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l-PL" sz="2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Kalkulator kredytowy</a:t>
          </a:r>
        </a:p>
      </xdr:txBody>
    </xdr:sp>
    <xdr:clientData/>
  </xdr:twoCellAnchor>
  <xdr:twoCellAnchor>
    <xdr:from>
      <xdr:col>16</xdr:col>
      <xdr:colOff>13243</xdr:colOff>
      <xdr:row>30</xdr:row>
      <xdr:rowOff>152400</xdr:rowOff>
    </xdr:from>
    <xdr:to>
      <xdr:col>20</xdr:col>
      <xdr:colOff>12656</xdr:colOff>
      <xdr:row>33</xdr:row>
      <xdr:rowOff>38100</xdr:rowOff>
    </xdr:to>
    <xdr:sp macro="[0]!Wydatki_Module.KalkulatorInwestycji" textlink="">
      <xdr:nvSpPr>
        <xdr:cNvPr id="58" name="Prostokąt: zaokrąglone rogi 57">
          <a:extLst>
            <a:ext uri="{FF2B5EF4-FFF2-40B4-BE49-F238E27FC236}">
              <a16:creationId xmlns:a16="http://schemas.microsoft.com/office/drawing/2014/main" id="{AA5EF34A-154C-4AC8-AAE3-A5A30E354DFF}"/>
            </a:ext>
          </a:extLst>
        </xdr:cNvPr>
        <xdr:cNvSpPr/>
      </xdr:nvSpPr>
      <xdr:spPr>
        <a:xfrm>
          <a:off x="13776868" y="7210425"/>
          <a:ext cx="3628438" cy="609600"/>
        </a:xfrm>
        <a:prstGeom prst="roundRect">
          <a:avLst/>
        </a:prstGeom>
        <a:solidFill>
          <a:srgbClr val="6883C6"/>
        </a:solidFill>
        <a:ln w="12700" cap="flat" cmpd="sng" algn="ctr">
          <a:solidFill>
            <a:srgbClr val="6883C6"/>
          </a:solidFill>
          <a:prstDash val="solid"/>
          <a:miter lim="800000"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l-PL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Kalkulator inwestycji/ oszczędności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3A9A02D-BE3C-4161-9BA3-CAA13950AA84}" name="Tabela1" displayName="Tabela1" ref="X15:Z27" totalsRowShown="0">
  <autoFilter ref="X15:Z27" xr:uid="{F3A9A02D-BE3C-4161-9BA3-CAA13950AA84}"/>
  <tableColumns count="3">
    <tableColumn id="1" xr3:uid="{AE143943-C34A-4AAF-B5B6-C74A774F4586}" name="Kategorii"/>
    <tableColumn id="3" xr3:uid="{ED669018-5C09-4A1E-82B0-5686530F1EF5}" name="Kwota"/>
    <tableColumn id="2" xr3:uid="{B5A1F0B2-EEAA-426E-95FE-8DA3CE9E33EB}" name="Miesiąc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414FAC7-B132-45C3-BCB6-08A2FB8BA181}" name="Tabela5" displayName="Tabela5" ref="X77:Y83" totalsRowShown="0" headerRowDxfId="21" dataDxfId="19" headerRowBorderDxfId="20" tableBorderDxfId="18" totalsRowBorderDxfId="17">
  <autoFilter ref="X77:Y83" xr:uid="{3414FAC7-B132-45C3-BCB6-08A2FB8BA181}"/>
  <tableColumns count="2">
    <tableColumn id="1" xr3:uid="{8E38C241-3D95-43D5-9BD2-022A4EEE320A}" name="Kategorii" dataDxfId="16"/>
    <tableColumn id="2" xr3:uid="{FC08E5FB-3A52-4888-BF9B-CBB1CA3FE613}" name="Kwota" dataDxfId="15">
      <calculatedColumnFormula>IF(SUMIFS(Tabela2[Kwota], Tabela2[Kategoria], Q84, Tabela2[Data], "&gt;=" &amp; DATE(WybranyRok, WybranyMiesiac, 1), Tabela2[Data], "&lt;=" &amp; DATE(WybranyRok, WybranyMiesiac + 1, 0))=0,NA(),SUMIFS(Tabela2[Kwota], Tabela2[Kategoria], Q84, Tabela2[Data], "&gt;=" &amp; DATE(WybranyRok, WybranyMiesiac, 1), Tabela2[Data], "&lt;=" &amp; DATE(WybranyRok, WybranyMiesiac + 1, 0)))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18F977F-2DF9-4611-8CA7-EB12FBBDEBA6}" name="Tabela3" displayName="Tabela3" ref="A2:C438" totalsRowShown="0" headerRowDxfId="14" dataDxfId="13">
  <autoFilter ref="A2:C438" xr:uid="{D18F977F-2DF9-4611-8CA7-EB12FBBDEBA6}"/>
  <sortState xmlns:xlrd2="http://schemas.microsoft.com/office/spreadsheetml/2017/richdata2" ref="A3:C438">
    <sortCondition ref="A2:A438"/>
  </sortState>
  <tableColumns count="3">
    <tableColumn id="1" xr3:uid="{490A115D-C807-4F75-A95C-C1D511E07272}" name="Data" dataDxfId="12"/>
    <tableColumn id="2" xr3:uid="{1E89E187-D7A7-4AA9-A6A1-5E85994FD10B}" name="Kategoria" dataDxfId="11"/>
    <tableColumn id="3" xr3:uid="{5A7EEFD5-173E-43CF-9AC2-D7A14AE8F256}" name="Kwota" dataDxfId="10" dataCellStyle="Walutow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64FDBAB-4647-4C64-8298-E4D22416A19B}" name="Tabela2" displayName="Tabela2" ref="A2:C67" totalsRowShown="0" headerRowDxfId="9" headerRowBorderDxfId="8" tableBorderDxfId="7" totalsRowBorderDxfId="6">
  <autoFilter ref="A2:C67" xr:uid="{164FDBAB-4647-4C64-8298-E4D22416A19B}"/>
  <sortState xmlns:xlrd2="http://schemas.microsoft.com/office/spreadsheetml/2017/richdata2" ref="A3:C67">
    <sortCondition ref="A2:A67"/>
  </sortState>
  <tableColumns count="3">
    <tableColumn id="1" xr3:uid="{27E7CCEA-759A-49E6-8F58-FEEFC6391140}" name="Data"/>
    <tableColumn id="2" xr3:uid="{E86F8D0A-A470-4541-A865-CFED701C946C}" name="Kategoria"/>
    <tableColumn id="3" xr3:uid="{D8F38D50-22E7-4470-A691-58814D097EFB}" name="Kwot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AG120"/>
  <sheetViews>
    <sheetView showGridLines="0" tabSelected="1" zoomScaleNormal="100" workbookViewId="0">
      <selection activeCell="O12" sqref="O12"/>
    </sheetView>
  </sheetViews>
  <sheetFormatPr defaultRowHeight="15" x14ac:dyDescent="0.25"/>
  <cols>
    <col min="1" max="3" width="12.7109375" customWidth="1"/>
    <col min="4" max="4" width="14.85546875" customWidth="1"/>
    <col min="5" max="5" width="14.5703125" customWidth="1"/>
    <col min="6" max="10" width="12.7109375" customWidth="1"/>
    <col min="11" max="11" width="12.85546875" customWidth="1"/>
    <col min="12" max="12" width="12.7109375" customWidth="1"/>
    <col min="13" max="13" width="14.140625" customWidth="1"/>
    <col min="14" max="14" width="12.7109375" customWidth="1"/>
    <col min="15" max="16" width="11.42578125" customWidth="1"/>
    <col min="17" max="17" width="12.7109375" customWidth="1"/>
    <col min="18" max="18" width="18" customWidth="1"/>
    <col min="19" max="19" width="9.85546875" customWidth="1"/>
    <col min="20" max="20" width="13.85546875" customWidth="1"/>
    <col min="21" max="23" width="12.7109375" customWidth="1"/>
    <col min="24" max="24" width="17.5703125" customWidth="1"/>
    <col min="25" max="25" width="13.85546875" customWidth="1"/>
    <col min="26" max="33" width="12.7109375" customWidth="1"/>
  </cols>
  <sheetData>
    <row r="1" spans="1:33" ht="15.75" x14ac:dyDescent="0.25">
      <c r="A1" s="82" t="s">
        <v>72</v>
      </c>
      <c r="B1" s="15"/>
      <c r="C1" s="14"/>
      <c r="D1" s="81"/>
      <c r="E1" s="14"/>
      <c r="F1" s="14"/>
      <c r="G1" s="14"/>
      <c r="H1" s="14"/>
      <c r="I1" s="14"/>
      <c r="J1" s="14"/>
      <c r="K1" s="14"/>
      <c r="L1" s="14"/>
      <c r="M1" s="14"/>
      <c r="N1" s="14"/>
      <c r="O1" s="15"/>
      <c r="P1" s="15"/>
      <c r="Q1" s="15"/>
      <c r="R1" s="15"/>
      <c r="S1" s="15"/>
      <c r="T1" s="15"/>
      <c r="U1" s="15"/>
      <c r="V1" s="15"/>
      <c r="W1" s="1"/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ht="33.75" x14ac:dyDescent="0.5">
      <c r="A2" s="83" t="s">
        <v>73</v>
      </c>
      <c r="B2" s="14"/>
      <c r="C2" s="14"/>
      <c r="D2" s="14"/>
      <c r="E2" s="14"/>
      <c r="F2" s="14"/>
      <c r="G2" s="14"/>
      <c r="H2" s="14"/>
      <c r="I2" s="16" t="s">
        <v>33</v>
      </c>
      <c r="J2" s="14"/>
      <c r="K2" s="14"/>
      <c r="L2" s="14"/>
      <c r="M2" s="14"/>
      <c r="N2" s="14"/>
      <c r="O2" s="15"/>
      <c r="P2" s="15"/>
      <c r="Q2" s="15"/>
      <c r="R2" s="15"/>
      <c r="S2" s="15"/>
      <c r="T2" s="15"/>
      <c r="U2" s="15"/>
      <c r="V2" s="15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5"/>
      <c r="P3" s="15"/>
      <c r="Q3" s="15"/>
      <c r="R3" s="15"/>
      <c r="S3" s="15"/>
      <c r="T3" s="15"/>
      <c r="U3" s="15"/>
      <c r="V3" s="15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ht="23.25" x14ac:dyDescent="0.35">
      <c r="A4" s="19" t="s">
        <v>11</v>
      </c>
      <c r="B4" s="18">
        <v>2024</v>
      </c>
      <c r="C4" s="14"/>
      <c r="D4" s="19" t="s">
        <v>30</v>
      </c>
      <c r="E4" s="18" t="s">
        <v>14</v>
      </c>
      <c r="F4" s="14"/>
      <c r="G4" s="14"/>
      <c r="H4" s="14"/>
      <c r="I4" s="14"/>
      <c r="J4" s="14"/>
      <c r="K4" s="14"/>
      <c r="L4" s="14"/>
      <c r="M4" s="20" t="s">
        <v>31</v>
      </c>
      <c r="N4" s="14"/>
      <c r="O4" s="17">
        <v>2500</v>
      </c>
      <c r="P4" s="20" t="s">
        <v>46</v>
      </c>
      <c r="Q4" s="15"/>
      <c r="R4" s="15"/>
      <c r="S4" s="15"/>
      <c r="T4" s="15"/>
      <c r="U4" s="15"/>
      <c r="V4" s="15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V5" s="14"/>
    </row>
    <row r="6" spans="1:33" x14ac:dyDescent="0.25">
      <c r="V6" s="14"/>
    </row>
    <row r="7" spans="1:33" ht="15" customHeight="1" x14ac:dyDescent="0.25">
      <c r="H7" s="99" t="str">
        <f>"Budżet na "&amp;E4</f>
        <v>Budżet na Styczeń</v>
      </c>
      <c r="I7" s="99"/>
      <c r="J7" s="99"/>
      <c r="K7" s="99"/>
      <c r="L7" s="99"/>
      <c r="M7" s="99"/>
      <c r="N7" s="99"/>
      <c r="Q7" s="21"/>
      <c r="V7" s="14"/>
    </row>
    <row r="8" spans="1:33" ht="15" customHeight="1" x14ac:dyDescent="0.25">
      <c r="H8" s="99"/>
      <c r="I8" s="99"/>
      <c r="J8" s="99"/>
      <c r="K8" s="99"/>
      <c r="L8" s="99"/>
      <c r="M8" s="99"/>
      <c r="N8" s="99"/>
      <c r="Q8" s="21"/>
      <c r="V8" s="14"/>
    </row>
    <row r="9" spans="1:33" x14ac:dyDescent="0.25">
      <c r="V9" s="14"/>
    </row>
    <row r="10" spans="1:33" x14ac:dyDescent="0.25">
      <c r="V10" s="14"/>
      <c r="AA10" s="3"/>
    </row>
    <row r="11" spans="1:33" x14ac:dyDescent="0.25">
      <c r="V11" s="14"/>
    </row>
    <row r="12" spans="1:33" x14ac:dyDescent="0.25">
      <c r="V12" s="14"/>
    </row>
    <row r="13" spans="1:33" ht="18.75" x14ac:dyDescent="0.3">
      <c r="J13" s="31" t="s">
        <v>32</v>
      </c>
      <c r="L13" s="64">
        <f>T29-T26</f>
        <v>1032</v>
      </c>
      <c r="V13" s="14"/>
    </row>
    <row r="14" spans="1:33" ht="20.100000000000001" customHeight="1" thickBot="1" x14ac:dyDescent="0.3">
      <c r="V14" s="14"/>
      <c r="X14" s="2" t="s">
        <v>26</v>
      </c>
      <c r="Y14">
        <f>IFERROR(MATCH(E4,Tabela1[Miesiąc],0),"")</f>
        <v>1</v>
      </c>
    </row>
    <row r="15" spans="1:33" ht="20.100000000000001" customHeight="1" thickBot="1" x14ac:dyDescent="0.4">
      <c r="Q15" s="91" t="str">
        <f>"Wydatki za "&amp;E4</f>
        <v>Wydatki za Styczeń</v>
      </c>
      <c r="R15" s="92"/>
      <c r="S15" s="92"/>
      <c r="T15" s="93"/>
      <c r="V15" s="14"/>
      <c r="X15" t="s">
        <v>13</v>
      </c>
      <c r="Y15" t="s">
        <v>29</v>
      </c>
      <c r="Z15" t="s">
        <v>12</v>
      </c>
    </row>
    <row r="16" spans="1:33" ht="20.100000000000001" customHeight="1" thickBot="1" x14ac:dyDescent="0.35">
      <c r="Q16" s="28" t="s">
        <v>6</v>
      </c>
      <c r="R16" s="29"/>
      <c r="S16" s="30"/>
      <c r="T16" s="4">
        <f>SUMIFS(Tabela3[Kwota], Tabela3[Kategoria], Q$16, Tabela3[Data], "&gt;=" &amp; DATE(WybranyRok, WybranyMiesiac, 1), Tabela3[Data], "&lt;=" &amp; DATE(WybranyRok, WybranyMiesiac + 1, 0))</f>
        <v>2245</v>
      </c>
      <c r="V16" s="14"/>
      <c r="X16" t="s">
        <v>6</v>
      </c>
      <c r="Y16">
        <f>IF(SUMIFS(Tabela3[Kwota], Tabela3[Kategoria], Q16, Tabela3[Data], "&gt;=" &amp; DATE(WybranyRok, WybranyMiesiac, 1), Tabela3[Data], "&lt;=" &amp; DATE(WybranyRok, WybranyMiesiac + 1, 0))=0,NA(),SUMIFS(Tabela3[Kwota], Tabela3[Kategoria], Q16, Tabela3[Data], "&gt;=" &amp; DATE(WybranyRok, WybranyMiesiac, 1), Tabela3[Data], "&lt;=" &amp; DATE(WybranyRok, WybranyMiesiac + 1, 0)))</f>
        <v>2245</v>
      </c>
      <c r="Z16" t="s">
        <v>14</v>
      </c>
    </row>
    <row r="17" spans="1:26" ht="20.100000000000001" customHeight="1" thickBot="1" x14ac:dyDescent="0.35">
      <c r="Q17" s="7" t="s">
        <v>5</v>
      </c>
      <c r="R17" s="8"/>
      <c r="S17" s="9"/>
      <c r="T17" s="4">
        <f>SUMIFS(Tabela3[Kwota], Tabela3[Kategoria], Q17, Tabela3[Data], "&gt;=" &amp; DATE(WybranyRok, WybranyMiesiac, 1), Tabela3[Data], "&lt;=" &amp; DATE(WybranyRok, WybranyMiesiac + 1, 0))</f>
        <v>450</v>
      </c>
      <c r="V17" s="14"/>
      <c r="X17" t="s">
        <v>5</v>
      </c>
      <c r="Y17">
        <f>IF(SUMIFS(Tabela3[Kwota], Tabela3[Kategoria], Q17, Tabela3[Data], "&gt;=" &amp; DATE(WybranyRok, WybranyMiesiac, 1), Tabela3[Data], "&lt;=" &amp; DATE(WybranyRok, WybranyMiesiac + 1, 0))=0,NA(),SUMIFS(Tabela3[Kwota], Tabela3[Kategoria], Q17, Tabela3[Data], "&gt;=" &amp; DATE(WybranyRok, WybranyMiesiac, 1), Tabela3[Data], "&lt;=" &amp; DATE(WybranyRok, WybranyMiesiac + 1, 0)))</f>
        <v>450</v>
      </c>
      <c r="Z17" t="s">
        <v>15</v>
      </c>
    </row>
    <row r="18" spans="1:26" ht="20.100000000000001" customHeight="1" thickBot="1" x14ac:dyDescent="0.35">
      <c r="Q18" s="7" t="s">
        <v>0</v>
      </c>
      <c r="R18" s="8"/>
      <c r="S18" s="9"/>
      <c r="T18" s="4">
        <f>SUMIFS(Tabela3[Kwota], Tabela3[Kategoria], Q18, Tabela3[Data], "&gt;=" &amp; DATE(WybranyRok, WybranyMiesiac, 1), Tabela3[Data], "&lt;=" &amp; DATE(WybranyRok, WybranyMiesiac + 1, 0))</f>
        <v>123</v>
      </c>
      <c r="V18" s="14"/>
      <c r="X18" t="s">
        <v>0</v>
      </c>
      <c r="Y18">
        <f>IF(SUMIFS(Tabela3[Kwota], Tabela3[Kategoria], Q18, Tabela3[Data], "&gt;=" &amp; DATE(WybranyRok, WybranyMiesiac, 1), Tabela3[Data], "&lt;=" &amp; DATE(WybranyRok, WybranyMiesiac + 1, 0))=0,NA(),SUMIFS(Tabela3[Kwota], Tabela3[Kategoria], Q18, Tabela3[Data], "&gt;=" &amp; DATE(WybranyRok, WybranyMiesiac, 1), Tabela3[Data], "&lt;=" &amp; DATE(WybranyRok, WybranyMiesiac + 1, 0)))</f>
        <v>123</v>
      </c>
      <c r="Z18" t="s">
        <v>16</v>
      </c>
    </row>
    <row r="19" spans="1:26" ht="20.100000000000001" customHeight="1" thickBot="1" x14ac:dyDescent="0.35">
      <c r="Q19" s="7" t="s">
        <v>7</v>
      </c>
      <c r="R19" s="8"/>
      <c r="S19" s="9"/>
      <c r="T19" s="4">
        <f>SUMIFS(Tabela3[Kwota], Tabela3[Kategoria], Q19, Tabela3[Data], "&gt;=" &amp; DATE(WybranyRok, WybranyMiesiac, 1), Tabela3[Data], "&lt;=" &amp; DATE(WybranyRok, WybranyMiesiac + 1, 0))</f>
        <v>0</v>
      </c>
      <c r="V19" s="14"/>
      <c r="X19" t="s">
        <v>7</v>
      </c>
      <c r="Y19" t="e">
        <f>IF(SUMIFS(Tabela3[Kwota], Tabela3[Kategoria], Q19, Tabela3[Data], "&gt;=" &amp; DATE(WybranyRok, WybranyMiesiac, 1), Tabela3[Data], "&lt;=" &amp; DATE(WybranyRok, WybranyMiesiac + 1, 0))=0,NA(),SUMIFS(Tabela3[Kwota], Tabela3[Kategoria], Q19, Tabela3[Data], "&gt;=" &amp; DATE(WybranyRok, WybranyMiesiac, 1), Tabela3[Data], "&lt;=" &amp; DATE(WybranyRok, WybranyMiesiac + 1, 0)))</f>
        <v>#N/A</v>
      </c>
      <c r="Z19" t="s">
        <v>17</v>
      </c>
    </row>
    <row r="20" spans="1:26" ht="20.100000000000001" customHeight="1" thickBot="1" x14ac:dyDescent="0.35">
      <c r="Q20" s="7" t="s">
        <v>1</v>
      </c>
      <c r="R20" s="8"/>
      <c r="S20" s="9"/>
      <c r="T20" s="4">
        <f>SUMIFS(Tabela3[Kwota], Tabela3[Kategoria], Q20, Tabela3[Data], "&gt;=" &amp; DATE(WybranyRok, WybranyMiesiac, 1), Tabela3[Data], "&lt;=" &amp; DATE(WybranyRok, WybranyMiesiac + 1, 0))</f>
        <v>0</v>
      </c>
      <c r="V20" s="14"/>
      <c r="X20" t="s">
        <v>1</v>
      </c>
      <c r="Y20" t="e">
        <f>IF(SUMIFS(Tabela3[Kwota], Tabela3[Kategoria], Q20, Tabela3[Data], "&gt;=" &amp; DATE(WybranyRok, WybranyMiesiac, 1), Tabela3[Data], "&lt;=" &amp; DATE(WybranyRok, WybranyMiesiac + 1, 0))=0,NA(),SUMIFS(Tabela3[Kwota], Tabela3[Kategoria], Q20, Tabela3[Data], "&gt;=" &amp; DATE(WybranyRok, WybranyMiesiac, 1), Tabela3[Data], "&lt;=" &amp; DATE(WybranyRok, WybranyMiesiac + 1, 0)))</f>
        <v>#N/A</v>
      </c>
      <c r="Z20" t="s">
        <v>18</v>
      </c>
    </row>
    <row r="21" spans="1:26" ht="20.100000000000001" customHeight="1" thickBot="1" x14ac:dyDescent="0.35">
      <c r="Q21" s="7" t="s">
        <v>2</v>
      </c>
      <c r="S21" s="9"/>
      <c r="T21" s="4">
        <f>SUMIFS(Tabela3[Kwota], Tabela3[Kategoria], Q21, Tabela3[Data], "&gt;=" &amp; DATE(WybranyRok, WybranyMiesiac, 1), Tabela3[Data], "&lt;=" &amp; DATE(WybranyRok, WybranyMiesiac + 1, 0))</f>
        <v>145</v>
      </c>
      <c r="V21" s="14"/>
      <c r="X21" t="s">
        <v>2</v>
      </c>
      <c r="Y21">
        <f>IF(SUMIFS(Tabela3[Kwota], Tabela3[Kategoria], Q21, Tabela3[Data], "&gt;=" &amp; DATE(WybranyRok, WybranyMiesiac, 1), Tabela3[Data], "&lt;=" &amp; DATE(WybranyRok, WybranyMiesiac + 1, 0))=0,NA(),SUMIFS(Tabela3[Kwota], Tabela3[Kategoria], Q21, Tabela3[Data], "&gt;=" &amp; DATE(WybranyRok, WybranyMiesiac, 1), Tabela3[Data], "&lt;=" &amp; DATE(WybranyRok, WybranyMiesiac + 1, 0)))</f>
        <v>145</v>
      </c>
      <c r="Z21" t="s">
        <v>19</v>
      </c>
    </row>
    <row r="22" spans="1:26" ht="20.100000000000001" customHeight="1" thickBot="1" x14ac:dyDescent="0.35">
      <c r="Q22" s="7" t="s">
        <v>3</v>
      </c>
      <c r="R22" s="8"/>
      <c r="S22" s="9"/>
      <c r="T22" s="4">
        <f>SUMIFS(Tabela3[Kwota], Tabela3[Kategoria], Q22, Tabela3[Data], "&gt;=" &amp; DATE(WybranyRok, WybranyMiesiac, 1), Tabela3[Data], "&lt;=" &amp; DATE(WybranyRok, WybranyMiesiac + 1, 0))</f>
        <v>0</v>
      </c>
      <c r="V22" s="14"/>
      <c r="X22" t="s">
        <v>3</v>
      </c>
      <c r="Y22" t="e">
        <f>IF(SUMIFS(Tabela3[Kwota], Tabela3[Kategoria], Q22, Tabela3[Data], "&gt;=" &amp; DATE(WybranyRok, WybranyMiesiac, 1), Tabela3[Data], "&lt;=" &amp; DATE(WybranyRok, WybranyMiesiac + 1, 0))=0,NA(),SUMIFS(Tabela3[Kwota], Tabela3[Kategoria], Q22, Tabela3[Data], "&gt;=" &amp; DATE(WybranyRok, WybranyMiesiac, 1), Tabela3[Data], "&lt;=" &amp; DATE(WybranyRok, WybranyMiesiac + 1, 0)))</f>
        <v>#N/A</v>
      </c>
      <c r="Z22" t="s">
        <v>20</v>
      </c>
    </row>
    <row r="23" spans="1:26" ht="20.100000000000001" customHeight="1" thickBot="1" x14ac:dyDescent="0.35">
      <c r="Q23" s="7" t="s">
        <v>4</v>
      </c>
      <c r="R23" s="8"/>
      <c r="S23" s="9"/>
      <c r="T23" s="4">
        <f>SUMIFS(Tabela3[Kwota], Tabela3[Kategoria], Q23, Tabela3[Data], "&gt;=" &amp; DATE(WybranyRok, WybranyMiesiac, 1), Tabela3[Data], "&lt;=" &amp; DATE(WybranyRok, WybranyMiesiac + 1, 0))</f>
        <v>0</v>
      </c>
      <c r="V23" s="14"/>
      <c r="X23" t="s">
        <v>4</v>
      </c>
      <c r="Y23" t="e">
        <f>IF(SUMIFS(Tabela3[Kwota], Tabela3[Kategoria], Q23, Tabela3[Data], "&gt;=" &amp; DATE(WybranyRok, WybranyMiesiac, 1), Tabela3[Data], "&lt;=" &amp; DATE(WybranyRok, WybranyMiesiac + 1, 0))=0,NA(),SUMIFS(Tabela3[Kwota], Tabela3[Kategoria], Q23, Tabela3[Data], "&gt;=" &amp; DATE(WybranyRok, WybranyMiesiac, 1), Tabela3[Data], "&lt;=" &amp; DATE(WybranyRok, WybranyMiesiac + 1, 0)))</f>
        <v>#N/A</v>
      </c>
      <c r="Z23" t="s">
        <v>21</v>
      </c>
    </row>
    <row r="24" spans="1:26" ht="20.100000000000001" customHeight="1" thickBot="1" x14ac:dyDescent="0.35">
      <c r="Q24" s="7" t="s">
        <v>9</v>
      </c>
      <c r="R24" s="8"/>
      <c r="S24" s="9"/>
      <c r="T24" s="4">
        <f>SUMIFS(Tabela3[Kwota], Tabela3[Kategoria], Q24, Tabela3[Data], "&gt;=" &amp; DATE(WybranyRok, WybranyMiesiac, 1), Tabela3[Data], "&lt;=" &amp; DATE(WybranyRok, WybranyMiesiac + 1, 0))</f>
        <v>0</v>
      </c>
      <c r="V24" s="14"/>
      <c r="X24" t="s">
        <v>9</v>
      </c>
      <c r="Y24" t="e">
        <f>IF(SUMIFS(Tabela3[Kwota], Tabela3[Kategoria], Q24, Tabela3[Data], "&gt;=" &amp; DATE(WybranyRok, WybranyMiesiac, 1), Tabela3[Data], "&lt;=" &amp; DATE(WybranyRok, WybranyMiesiac + 1, 0))=0,NA(),SUMIFS(Tabela3[Kwota], Tabela3[Kategoria], Q24, Tabela3[Data], "&gt;=" &amp; DATE(WybranyRok, WybranyMiesiac, 1), Tabela3[Data], "&lt;=" &amp; DATE(WybranyRok, WybranyMiesiac + 1, 0)))</f>
        <v>#N/A</v>
      </c>
      <c r="Z24" t="s">
        <v>22</v>
      </c>
    </row>
    <row r="25" spans="1:26" ht="20.100000000000001" customHeight="1" thickBot="1" x14ac:dyDescent="0.35">
      <c r="Q25" s="105" t="s">
        <v>8</v>
      </c>
      <c r="R25" s="106"/>
      <c r="S25" s="107"/>
      <c r="T25" s="4">
        <f>SUMIFS(Tabela3[Kwota], Tabela3[Kategoria], Q25, Tabela3[Data], "&gt;=" &amp; DATE(WybranyRok, WybranyMiesiac, 1), Tabela3[Data], "&lt;=" &amp; DATE(WybranyRok, WybranyMiesiac + 1, 0))</f>
        <v>0</v>
      </c>
      <c r="V25" s="14"/>
      <c r="X25" t="s">
        <v>8</v>
      </c>
      <c r="Y25" t="e">
        <f>IF(SUMIFS(Tabela3[Kwota], Tabela3[Kategoria], Q25, Tabela3[Data], "&gt;=" &amp; DATE(WybranyRok, WybranyMiesiac, 1), Tabela3[Data], "&lt;=" &amp; DATE(WybranyRok, WybranyMiesiac + 1, 0))=0,NA(),SUMIFS(Tabela3[Kwota], Tabela3[Kategoria], Q25, Tabela3[Data], "&gt;=" &amp; DATE(WybranyRok, WybranyMiesiac, 1), Tabela3[Data], "&lt;=" &amp; DATE(WybranyRok, WybranyMiesiac + 1, 0)))</f>
        <v>#N/A</v>
      </c>
      <c r="Z25" t="s">
        <v>23</v>
      </c>
    </row>
    <row r="26" spans="1:26" ht="20.100000000000001" customHeight="1" thickBot="1" x14ac:dyDescent="0.35">
      <c r="Q26" s="108" t="s">
        <v>27</v>
      </c>
      <c r="R26" s="109"/>
      <c r="S26" s="110"/>
      <c r="T26" s="11">
        <f>SUM(T16:T25)</f>
        <v>2963</v>
      </c>
      <c r="V26" s="14"/>
      <c r="Z26" t="s">
        <v>24</v>
      </c>
    </row>
    <row r="27" spans="1:26" ht="20.25" thickTop="1" thickBot="1" x14ac:dyDescent="0.35">
      <c r="Q27" s="22" t="str">
        <f>"Miesięczny budżet"</f>
        <v>Miesięczny budżet</v>
      </c>
      <c r="R27" s="23"/>
      <c r="S27" s="24"/>
      <c r="T27" s="12">
        <f>O4</f>
        <v>2500</v>
      </c>
      <c r="V27" s="14"/>
      <c r="Z27" t="s">
        <v>25</v>
      </c>
    </row>
    <row r="28" spans="1:26" ht="20.25" thickTop="1" thickBot="1" x14ac:dyDescent="0.35">
      <c r="Q28" s="25" t="s">
        <v>28</v>
      </c>
      <c r="R28" s="26"/>
      <c r="S28" s="27"/>
      <c r="T28" s="13">
        <f>T27-T26</f>
        <v>-463</v>
      </c>
      <c r="V28" s="14"/>
    </row>
    <row r="29" spans="1:26" ht="20.25" thickTop="1" thickBot="1" x14ac:dyDescent="0.35">
      <c r="Q29" s="108" t="s">
        <v>66</v>
      </c>
      <c r="R29" s="109"/>
      <c r="S29" s="110"/>
      <c r="T29" s="11">
        <f>SUM(T84:T89)</f>
        <v>3995</v>
      </c>
      <c r="V29" s="14"/>
    </row>
    <row r="30" spans="1:26" ht="15.75" thickTop="1" x14ac:dyDescent="0.25">
      <c r="A30" s="66"/>
      <c r="B30" s="66"/>
      <c r="C30" s="66"/>
      <c r="D30" s="66"/>
      <c r="E30" s="66"/>
      <c r="F30" s="66"/>
      <c r="G30" s="66"/>
      <c r="H30" s="66"/>
      <c r="I30" s="66"/>
      <c r="J30" s="66"/>
      <c r="K30" s="66"/>
      <c r="U30" s="66"/>
      <c r="V30" s="14"/>
    </row>
    <row r="31" spans="1:26" ht="15.75" thickBot="1" x14ac:dyDescent="0.3">
      <c r="A31" s="66"/>
      <c r="B31" s="66"/>
      <c r="C31" s="66"/>
      <c r="D31" s="66"/>
      <c r="E31" s="66"/>
      <c r="F31" s="66"/>
      <c r="G31" s="66"/>
      <c r="H31" s="66"/>
      <c r="I31" s="66"/>
      <c r="J31" s="66"/>
      <c r="K31" s="66"/>
      <c r="L31" s="66"/>
      <c r="M31" s="66"/>
      <c r="N31" s="66"/>
      <c r="O31" s="66"/>
      <c r="P31" s="66"/>
      <c r="U31" s="66"/>
      <c r="V31" s="14"/>
    </row>
    <row r="32" spans="1:26" ht="21.75" thickBot="1" x14ac:dyDescent="0.4">
      <c r="B32" s="91" t="str">
        <f>"Srednie miesięczne wydatki za rok "&amp;WybranyRok</f>
        <v>Srednie miesięczne wydatki za rok 2024</v>
      </c>
      <c r="C32" s="92"/>
      <c r="D32" s="92"/>
      <c r="E32" s="93"/>
      <c r="L32" s="100" t="s">
        <v>37</v>
      </c>
      <c r="M32" s="101"/>
      <c r="N32" s="101"/>
      <c r="O32" s="102"/>
      <c r="V32" s="14"/>
    </row>
    <row r="33" spans="2:22" ht="19.5" thickBot="1" x14ac:dyDescent="0.35">
      <c r="B33" s="28" t="s">
        <v>6</v>
      </c>
      <c r="C33" s="29"/>
      <c r="D33" s="30"/>
      <c r="E33" s="4">
        <v>1122.5</v>
      </c>
      <c r="L33" s="7" t="s">
        <v>38</v>
      </c>
      <c r="M33" s="29"/>
      <c r="N33" s="30"/>
      <c r="O33" s="35">
        <v>4.1613499999999997</v>
      </c>
      <c r="V33" s="14"/>
    </row>
    <row r="34" spans="2:22" ht="19.5" thickBot="1" x14ac:dyDescent="0.35">
      <c r="B34" s="7" t="s">
        <v>5</v>
      </c>
      <c r="C34" s="8"/>
      <c r="D34" s="9"/>
      <c r="E34" s="5">
        <v>450</v>
      </c>
      <c r="L34" s="7" t="s">
        <v>39</v>
      </c>
      <c r="M34" s="8"/>
      <c r="N34" s="9"/>
      <c r="O34" s="36">
        <v>4.6053499999999996</v>
      </c>
      <c r="V34" s="14"/>
    </row>
    <row r="35" spans="2:22" ht="19.5" thickBot="1" x14ac:dyDescent="0.35">
      <c r="B35" s="7" t="s">
        <v>0</v>
      </c>
      <c r="C35" s="8"/>
      <c r="D35" s="9"/>
      <c r="E35" s="5">
        <v>123</v>
      </c>
      <c r="L35" s="7" t="s">
        <v>40</v>
      </c>
      <c r="M35" s="8"/>
      <c r="N35" s="9"/>
      <c r="O35" s="36">
        <v>4.4394099999999996</v>
      </c>
      <c r="V35" s="14"/>
    </row>
    <row r="36" spans="2:22" ht="19.5" thickBot="1" x14ac:dyDescent="0.35">
      <c r="B36" s="7" t="s">
        <v>7</v>
      </c>
      <c r="C36" s="8"/>
      <c r="D36" s="9"/>
      <c r="E36" s="5">
        <v>-456</v>
      </c>
      <c r="L36" s="7" t="s">
        <v>41</v>
      </c>
      <c r="M36" s="8"/>
      <c r="N36" s="9"/>
      <c r="O36" s="36">
        <v>5.0876900000000003</v>
      </c>
      <c r="V36" s="14"/>
    </row>
    <row r="37" spans="2:22" ht="19.5" thickBot="1" x14ac:dyDescent="0.35">
      <c r="B37" s="7" t="s">
        <v>1</v>
      </c>
      <c r="C37" s="8"/>
      <c r="D37" s="9"/>
      <c r="E37" s="5">
        <v>0</v>
      </c>
      <c r="L37" s="7" t="s">
        <v>42</v>
      </c>
      <c r="M37" s="8"/>
      <c r="N37" s="9"/>
      <c r="O37" s="36">
        <v>4.4626800000000001E-2</v>
      </c>
      <c r="V37" s="14"/>
    </row>
    <row r="38" spans="2:22" ht="19.5" thickBot="1" x14ac:dyDescent="0.35">
      <c r="B38" s="7" t="s">
        <v>2</v>
      </c>
      <c r="C38" s="8"/>
      <c r="D38" s="9"/>
      <c r="E38" s="5">
        <v>145</v>
      </c>
      <c r="L38" s="7" t="s">
        <v>43</v>
      </c>
      <c r="M38" s="8"/>
      <c r="N38" s="9"/>
      <c r="O38" s="36">
        <v>0.1153</v>
      </c>
      <c r="V38" s="14"/>
    </row>
    <row r="39" spans="2:22" ht="19.5" thickBot="1" x14ac:dyDescent="0.35">
      <c r="B39" s="7" t="s">
        <v>3</v>
      </c>
      <c r="C39" s="8"/>
      <c r="D39" s="9"/>
      <c r="E39" s="5">
        <v>0</v>
      </c>
      <c r="L39" s="7" t="s">
        <v>44</v>
      </c>
      <c r="M39" s="8"/>
      <c r="N39" s="9"/>
      <c r="O39" s="36">
        <v>0.18082999999999999</v>
      </c>
      <c r="V39" s="14"/>
    </row>
    <row r="40" spans="2:22" ht="19.5" thickBot="1" x14ac:dyDescent="0.35">
      <c r="B40" s="7" t="s">
        <v>4</v>
      </c>
      <c r="C40" s="8"/>
      <c r="D40" s="9"/>
      <c r="E40" s="5">
        <v>0</v>
      </c>
      <c r="L40" s="7" t="s">
        <v>45</v>
      </c>
      <c r="M40" s="8"/>
      <c r="N40" s="9"/>
      <c r="O40" s="36">
        <v>0.38086900000000001</v>
      </c>
      <c r="V40" s="14"/>
    </row>
    <row r="41" spans="2:22" ht="19.5" thickBot="1" x14ac:dyDescent="0.35">
      <c r="B41" s="7" t="s">
        <v>9</v>
      </c>
      <c r="C41" s="8"/>
      <c r="D41" s="9"/>
      <c r="E41" s="5">
        <v>0</v>
      </c>
      <c r="V41" s="14"/>
    </row>
    <row r="42" spans="2:22" ht="19.5" thickBot="1" x14ac:dyDescent="0.35">
      <c r="B42" s="6" t="s">
        <v>8</v>
      </c>
      <c r="C42" s="6"/>
      <c r="D42" s="6"/>
      <c r="E42" s="5">
        <v>0</v>
      </c>
      <c r="V42" s="14"/>
    </row>
    <row r="43" spans="2:22" ht="19.5" thickBot="1" x14ac:dyDescent="0.35">
      <c r="B43" s="10" t="s">
        <v>36</v>
      </c>
      <c r="C43" s="10"/>
      <c r="D43" s="10"/>
      <c r="E43" s="11">
        <v>1384.5</v>
      </c>
      <c r="V43" s="14"/>
    </row>
    <row r="44" spans="2:22" ht="15.75" thickTop="1" x14ac:dyDescent="0.25">
      <c r="E44" s="37"/>
      <c r="V44" s="14"/>
    </row>
    <row r="45" spans="2:22" x14ac:dyDescent="0.25">
      <c r="V45" s="14"/>
    </row>
    <row r="46" spans="2:22" ht="21.75" thickBot="1" x14ac:dyDescent="0.4">
      <c r="B46" s="97" t="str">
        <f>"Procentowa zmiana wydatków w roku "&amp;B4</f>
        <v>Procentowa zmiana wydatków w roku 2024</v>
      </c>
      <c r="C46" s="98"/>
      <c r="D46" s="98"/>
      <c r="E46" s="98"/>
      <c r="F46" s="98"/>
      <c r="G46" s="98"/>
      <c r="H46" s="98"/>
      <c r="I46" s="98"/>
      <c r="J46" s="98"/>
      <c r="K46" s="98"/>
      <c r="L46" s="98"/>
      <c r="M46" s="98"/>
      <c r="N46" s="98"/>
      <c r="O46" s="98"/>
      <c r="P46" s="98"/>
      <c r="Q46" s="66"/>
      <c r="R46" s="66"/>
      <c r="S46" s="66"/>
      <c r="T46" s="66"/>
      <c r="V46" s="14"/>
    </row>
    <row r="47" spans="2:22" ht="19.5" thickBot="1" x14ac:dyDescent="0.35">
      <c r="B47" s="94"/>
      <c r="C47" s="95"/>
      <c r="D47" s="96"/>
      <c r="E47" s="45" t="s">
        <v>48</v>
      </c>
      <c r="F47" s="45" t="s">
        <v>47</v>
      </c>
      <c r="G47" s="45" t="s">
        <v>49</v>
      </c>
      <c r="H47" s="45" t="s">
        <v>50</v>
      </c>
      <c r="I47" s="45" t="s">
        <v>51</v>
      </c>
      <c r="J47" s="45" t="s">
        <v>52</v>
      </c>
      <c r="K47" s="45" t="s">
        <v>53</v>
      </c>
      <c r="L47" s="45" t="s">
        <v>54</v>
      </c>
      <c r="M47" s="45" t="s">
        <v>55</v>
      </c>
      <c r="N47" s="45" t="s">
        <v>56</v>
      </c>
      <c r="O47" s="45" t="s">
        <v>57</v>
      </c>
      <c r="P47" s="45" t="s">
        <v>58</v>
      </c>
      <c r="V47" s="14"/>
    </row>
    <row r="48" spans="2:22" ht="19.5" thickBot="1" x14ac:dyDescent="0.35">
      <c r="B48" s="38" t="s">
        <v>6</v>
      </c>
      <c r="C48" s="39"/>
      <c r="D48" s="40"/>
      <c r="E48" s="112">
        <v>9.2723290338281819E-2</v>
      </c>
      <c r="F48" s="60">
        <v>-1</v>
      </c>
      <c r="G48" s="84">
        <v>-1</v>
      </c>
      <c r="H48" s="59">
        <v>-1</v>
      </c>
      <c r="I48" s="59">
        <v>-1</v>
      </c>
      <c r="J48" s="59">
        <v>-1</v>
      </c>
      <c r="K48" s="59">
        <v>-1</v>
      </c>
      <c r="L48" s="59">
        <v>-1</v>
      </c>
      <c r="M48" s="59">
        <v>-1</v>
      </c>
      <c r="N48" s="59">
        <v>-1</v>
      </c>
      <c r="O48" s="59">
        <v>-1</v>
      </c>
      <c r="P48" s="51">
        <v>0</v>
      </c>
      <c r="V48" s="14"/>
    </row>
    <row r="49" spans="2:22" ht="19.5" thickBot="1" x14ac:dyDescent="0.35">
      <c r="B49" s="41" t="s">
        <v>5</v>
      </c>
      <c r="C49" s="42"/>
      <c r="D49" s="43"/>
      <c r="E49" s="58">
        <v>-0.21431689218681799</v>
      </c>
      <c r="F49" s="60">
        <v>-1</v>
      </c>
      <c r="G49" s="84">
        <v>-1</v>
      </c>
      <c r="H49" s="59">
        <v>-1</v>
      </c>
      <c r="I49" s="59">
        <v>-1</v>
      </c>
      <c r="J49" s="59">
        <v>-1</v>
      </c>
      <c r="K49" s="59">
        <v>-1</v>
      </c>
      <c r="L49" s="59">
        <v>-1</v>
      </c>
      <c r="M49" s="59">
        <v>-1</v>
      </c>
      <c r="N49" s="59">
        <v>-1</v>
      </c>
      <c r="O49" s="59">
        <v>-1</v>
      </c>
      <c r="P49" s="51">
        <v>0</v>
      </c>
      <c r="V49" s="14"/>
    </row>
    <row r="50" spans="2:22" ht="19.5" thickBot="1" x14ac:dyDescent="0.35">
      <c r="B50" s="41" t="s">
        <v>0</v>
      </c>
      <c r="C50" s="42"/>
      <c r="D50" s="43"/>
      <c r="E50" s="58">
        <v>-0.38500000000000001</v>
      </c>
      <c r="F50" s="60">
        <v>-1</v>
      </c>
      <c r="G50" s="84">
        <v>-1</v>
      </c>
      <c r="H50" s="59">
        <v>-1</v>
      </c>
      <c r="I50" s="59">
        <v>-1</v>
      </c>
      <c r="J50" s="59">
        <v>-1</v>
      </c>
      <c r="K50" s="59">
        <v>-1</v>
      </c>
      <c r="L50" s="59">
        <v>-1</v>
      </c>
      <c r="M50" s="59">
        <v>-1</v>
      </c>
      <c r="N50" s="59">
        <v>-1</v>
      </c>
      <c r="O50" s="51">
        <v>0</v>
      </c>
      <c r="P50" s="113">
        <v>0</v>
      </c>
      <c r="V50" s="14"/>
    </row>
    <row r="51" spans="2:22" ht="19.5" thickBot="1" x14ac:dyDescent="0.35">
      <c r="B51" s="41" t="s">
        <v>7</v>
      </c>
      <c r="C51" s="42"/>
      <c r="D51" s="43"/>
      <c r="E51" s="58">
        <v>-3.6358381502890174</v>
      </c>
      <c r="F51" s="60">
        <v>-1</v>
      </c>
      <c r="G51" s="84">
        <v>-1</v>
      </c>
      <c r="H51" s="59">
        <v>-1</v>
      </c>
      <c r="I51" s="59">
        <v>-1</v>
      </c>
      <c r="J51" s="59">
        <v>-1</v>
      </c>
      <c r="K51" s="59">
        <v>-1</v>
      </c>
      <c r="L51" s="59">
        <v>-1</v>
      </c>
      <c r="M51" s="59">
        <v>-1</v>
      </c>
      <c r="N51" s="59">
        <v>-1</v>
      </c>
      <c r="O51" s="59">
        <v>-1</v>
      </c>
      <c r="P51" s="51">
        <v>0</v>
      </c>
      <c r="V51" s="14"/>
    </row>
    <row r="52" spans="2:22" ht="19.5" thickBot="1" x14ac:dyDescent="0.35">
      <c r="B52" s="41" t="s">
        <v>1</v>
      </c>
      <c r="C52" s="42"/>
      <c r="D52" s="43"/>
      <c r="E52" s="58">
        <v>-1</v>
      </c>
      <c r="F52" s="60">
        <v>-1</v>
      </c>
      <c r="G52" s="84">
        <v>-1</v>
      </c>
      <c r="H52" s="59">
        <v>-1</v>
      </c>
      <c r="I52" s="59">
        <v>-1</v>
      </c>
      <c r="J52" s="59">
        <v>-1</v>
      </c>
      <c r="K52" s="59">
        <v>-1</v>
      </c>
      <c r="L52" s="59">
        <v>-1</v>
      </c>
      <c r="M52" s="59">
        <v>-1</v>
      </c>
      <c r="N52" s="59">
        <v>-1</v>
      </c>
      <c r="O52" s="59">
        <v>-1</v>
      </c>
      <c r="P52" s="51">
        <v>0</v>
      </c>
      <c r="V52" s="14"/>
    </row>
    <row r="53" spans="2:22" ht="19.5" thickBot="1" x14ac:dyDescent="0.35">
      <c r="B53" s="41" t="s">
        <v>2</v>
      </c>
      <c r="C53" s="42"/>
      <c r="D53" s="43"/>
      <c r="E53" s="58">
        <v>-0.70408163265306123</v>
      </c>
      <c r="F53" s="60">
        <v>-1</v>
      </c>
      <c r="G53" s="84">
        <v>-1</v>
      </c>
      <c r="H53" s="59">
        <v>-1</v>
      </c>
      <c r="I53" s="59">
        <v>-1</v>
      </c>
      <c r="J53" s="59">
        <v>-1</v>
      </c>
      <c r="K53" s="59">
        <v>-1</v>
      </c>
      <c r="L53" s="59">
        <v>-1</v>
      </c>
      <c r="M53" s="59">
        <v>-1</v>
      </c>
      <c r="N53" s="59">
        <v>-1</v>
      </c>
      <c r="O53" s="51">
        <v>0</v>
      </c>
      <c r="P53" s="51">
        <v>0</v>
      </c>
      <c r="V53" s="14"/>
    </row>
    <row r="54" spans="2:22" ht="19.5" thickBot="1" x14ac:dyDescent="0.35">
      <c r="B54" s="41" t="s">
        <v>3</v>
      </c>
      <c r="C54" s="42"/>
      <c r="D54" s="43"/>
      <c r="E54" s="58">
        <v>-1</v>
      </c>
      <c r="F54" s="60">
        <v>-1</v>
      </c>
      <c r="G54" s="84">
        <v>-1</v>
      </c>
      <c r="H54" s="59">
        <v>-1</v>
      </c>
      <c r="I54" s="59">
        <v>-1</v>
      </c>
      <c r="J54" s="59">
        <v>-1</v>
      </c>
      <c r="K54" s="59">
        <v>-1</v>
      </c>
      <c r="L54" s="59">
        <v>-1</v>
      </c>
      <c r="M54" s="59">
        <v>-1</v>
      </c>
      <c r="N54" s="59">
        <v>-1</v>
      </c>
      <c r="O54" s="59">
        <v>-1</v>
      </c>
      <c r="P54" s="59">
        <v>-1</v>
      </c>
      <c r="V54" s="14"/>
    </row>
    <row r="55" spans="2:22" ht="19.5" thickBot="1" x14ac:dyDescent="0.35">
      <c r="B55" s="41" t="s">
        <v>4</v>
      </c>
      <c r="C55" s="42"/>
      <c r="D55" s="43"/>
      <c r="E55" s="58">
        <v>-1</v>
      </c>
      <c r="F55" s="60">
        <v>-1</v>
      </c>
      <c r="G55" s="84">
        <v>-1</v>
      </c>
      <c r="H55" s="59">
        <v>-1</v>
      </c>
      <c r="I55" s="59">
        <v>-1</v>
      </c>
      <c r="J55" s="59">
        <v>-1</v>
      </c>
      <c r="K55" s="59">
        <v>-1</v>
      </c>
      <c r="L55" s="59">
        <v>-1</v>
      </c>
      <c r="M55" s="59">
        <v>-1</v>
      </c>
      <c r="N55" s="59">
        <v>-1</v>
      </c>
      <c r="O55" s="59">
        <v>-1</v>
      </c>
      <c r="P55" s="51">
        <v>0</v>
      </c>
      <c r="V55" s="14"/>
    </row>
    <row r="56" spans="2:22" ht="20.25" customHeight="1" thickBot="1" x14ac:dyDescent="0.35">
      <c r="B56" s="41" t="s">
        <v>9</v>
      </c>
      <c r="C56" s="42"/>
      <c r="D56" s="43"/>
      <c r="E56" s="58">
        <v>-1</v>
      </c>
      <c r="F56" s="60">
        <v>-1</v>
      </c>
      <c r="G56" s="84">
        <v>-1</v>
      </c>
      <c r="H56" s="59">
        <v>-1</v>
      </c>
      <c r="I56" s="59">
        <v>-1</v>
      </c>
      <c r="J56" s="59">
        <v>-1</v>
      </c>
      <c r="K56" s="59">
        <v>-1</v>
      </c>
      <c r="L56" s="59">
        <v>-1</v>
      </c>
      <c r="M56" s="59">
        <v>-1</v>
      </c>
      <c r="N56" s="59">
        <v>-1</v>
      </c>
      <c r="O56" s="59">
        <v>-1</v>
      </c>
      <c r="P56" s="51">
        <v>0</v>
      </c>
      <c r="V56" s="14"/>
    </row>
    <row r="57" spans="2:22" ht="19.5" thickBot="1" x14ac:dyDescent="0.35">
      <c r="B57" s="44" t="s">
        <v>8</v>
      </c>
      <c r="C57" s="44"/>
      <c r="D57" s="44"/>
      <c r="E57" s="58">
        <v>-1</v>
      </c>
      <c r="F57" s="60">
        <v>-1</v>
      </c>
      <c r="G57" s="84">
        <v>-1</v>
      </c>
      <c r="H57" s="59">
        <v>-1</v>
      </c>
      <c r="I57" s="59">
        <v>-1</v>
      </c>
      <c r="J57" s="59">
        <v>-1</v>
      </c>
      <c r="K57" s="59">
        <v>-1</v>
      </c>
      <c r="L57" s="59">
        <v>-1</v>
      </c>
      <c r="M57" s="59">
        <v>-1</v>
      </c>
      <c r="N57" s="59">
        <v>-1</v>
      </c>
      <c r="O57" s="51">
        <v>0</v>
      </c>
      <c r="P57" s="51">
        <v>0</v>
      </c>
      <c r="V57" s="14"/>
    </row>
    <row r="58" spans="2:22" x14ac:dyDescent="0.25">
      <c r="V58" s="14"/>
    </row>
    <row r="59" spans="2:22" ht="21.75" thickBot="1" x14ac:dyDescent="0.4">
      <c r="B59" s="103" t="str">
        <f>"Procentowa zmiana wydatków"</f>
        <v>Procentowa zmiana wydatków</v>
      </c>
      <c r="C59" s="104"/>
      <c r="D59" s="104"/>
      <c r="E59" s="104"/>
      <c r="F59" s="104"/>
      <c r="G59" s="104"/>
      <c r="H59" s="104"/>
      <c r="I59" s="104"/>
      <c r="V59" s="14"/>
    </row>
    <row r="60" spans="2:22" ht="19.5" thickBot="1" x14ac:dyDescent="0.35">
      <c r="B60" s="94"/>
      <c r="C60" s="95"/>
      <c r="D60" s="96"/>
      <c r="E60" s="45">
        <v>2020</v>
      </c>
      <c r="F60" s="46">
        <v>2021</v>
      </c>
      <c r="G60" s="45">
        <v>2022</v>
      </c>
      <c r="H60" s="46">
        <v>2023</v>
      </c>
      <c r="I60" s="46">
        <v>2024</v>
      </c>
      <c r="V60" s="14"/>
    </row>
    <row r="61" spans="2:22" ht="19.5" thickBot="1" x14ac:dyDescent="0.35">
      <c r="B61" s="38" t="s">
        <v>6</v>
      </c>
      <c r="C61" s="39"/>
      <c r="D61" s="40"/>
      <c r="E61" s="52">
        <v>0</v>
      </c>
      <c r="F61" s="53">
        <v>-0.53580052493438324</v>
      </c>
      <c r="G61" s="54">
        <v>0.54076670813072492</v>
      </c>
      <c r="H61" s="54">
        <v>0.8262018348623853</v>
      </c>
      <c r="I61" s="53">
        <v>-0.81954826782412993</v>
      </c>
      <c r="J61" s="47"/>
      <c r="K61" s="47"/>
      <c r="L61" s="47"/>
      <c r="M61" s="47"/>
      <c r="N61" s="47"/>
      <c r="O61" s="47"/>
      <c r="P61" s="47"/>
      <c r="Q61" s="47"/>
      <c r="V61" s="14"/>
    </row>
    <row r="62" spans="2:22" ht="19.5" thickBot="1" x14ac:dyDescent="0.35">
      <c r="B62" s="41" t="s">
        <v>5</v>
      </c>
      <c r="C62" s="42"/>
      <c r="D62" s="43"/>
      <c r="E62" s="55">
        <v>0</v>
      </c>
      <c r="F62" s="57">
        <v>-0.36421052631578948</v>
      </c>
      <c r="G62" s="56">
        <v>0.27297185430463577</v>
      </c>
      <c r="H62" s="56">
        <v>0.72264672410990083</v>
      </c>
      <c r="I62" s="57">
        <v>-0.83012457531143824</v>
      </c>
      <c r="J62" s="47"/>
      <c r="K62" s="47"/>
      <c r="L62" s="47"/>
      <c r="M62" s="47"/>
      <c r="N62" s="47"/>
      <c r="O62" s="47"/>
      <c r="P62" s="47"/>
      <c r="Q62" s="47"/>
      <c r="V62" s="14"/>
    </row>
    <row r="63" spans="2:22" ht="19.5" thickBot="1" x14ac:dyDescent="0.35">
      <c r="B63" s="41" t="s">
        <v>0</v>
      </c>
      <c r="C63" s="42"/>
      <c r="D63" s="43"/>
      <c r="E63" s="55">
        <v>0</v>
      </c>
      <c r="F63" s="57">
        <v>-0.44315789473684208</v>
      </c>
      <c r="G63" s="56">
        <v>0.34026465028355385</v>
      </c>
      <c r="H63" s="56">
        <v>3.1805359661495065</v>
      </c>
      <c r="I63" s="57">
        <v>-0.958502024291498</v>
      </c>
      <c r="J63" s="47"/>
      <c r="K63" s="47"/>
      <c r="L63" s="47"/>
      <c r="M63" s="47"/>
      <c r="N63" s="47"/>
      <c r="O63" s="47"/>
      <c r="P63" s="47"/>
      <c r="Q63" s="47"/>
      <c r="V63" s="14"/>
    </row>
    <row r="64" spans="2:22" ht="19.5" thickBot="1" x14ac:dyDescent="0.35">
      <c r="B64" s="41" t="s">
        <v>7</v>
      </c>
      <c r="C64" s="42"/>
      <c r="D64" s="43"/>
      <c r="E64" s="55">
        <v>0</v>
      </c>
      <c r="F64" s="57">
        <v>-0.37330677290836656</v>
      </c>
      <c r="G64" s="56">
        <v>3.6236490781945324E-2</v>
      </c>
      <c r="H64" s="56">
        <v>1.9202453987730062</v>
      </c>
      <c r="I64" s="57">
        <v>-1.0957983193277312</v>
      </c>
      <c r="J64" s="47"/>
      <c r="K64" s="47"/>
      <c r="L64" s="47"/>
      <c r="M64" s="47"/>
      <c r="N64" s="47"/>
      <c r="O64" s="47"/>
      <c r="P64" s="47"/>
      <c r="Q64" s="47"/>
      <c r="V64" s="14"/>
    </row>
    <row r="65" spans="1:25" ht="19.5" thickBot="1" x14ac:dyDescent="0.35">
      <c r="B65" s="41" t="s">
        <v>1</v>
      </c>
      <c r="C65" s="42"/>
      <c r="D65" s="43"/>
      <c r="E65" s="55">
        <v>0</v>
      </c>
      <c r="F65" s="56">
        <v>0.57565922920892487</v>
      </c>
      <c r="G65" s="57">
        <v>-0.55329557157569509</v>
      </c>
      <c r="H65" s="56">
        <v>3.3769452449567723</v>
      </c>
      <c r="I65" s="57">
        <v>-1</v>
      </c>
      <c r="J65" s="47"/>
      <c r="K65" s="47"/>
      <c r="L65" s="47"/>
      <c r="M65" s="47"/>
      <c r="N65" s="47"/>
      <c r="O65" s="47"/>
      <c r="P65" s="47"/>
      <c r="Q65" s="47"/>
      <c r="V65" s="14"/>
    </row>
    <row r="66" spans="1:25" ht="19.5" thickBot="1" x14ac:dyDescent="0.35">
      <c r="B66" s="41" t="s">
        <v>2</v>
      </c>
      <c r="C66" s="42"/>
      <c r="D66" s="43"/>
      <c r="E66" s="55">
        <v>0</v>
      </c>
      <c r="F66" s="57">
        <v>-0.57966396292004641</v>
      </c>
      <c r="G66" s="57">
        <v>-0.18676774638180565</v>
      </c>
      <c r="H66" s="56">
        <v>3.093220338983051</v>
      </c>
      <c r="I66" s="57">
        <v>-0.96997929606625255</v>
      </c>
      <c r="J66" s="47"/>
      <c r="K66" s="47"/>
      <c r="L66" s="47"/>
      <c r="M66" s="47"/>
      <c r="N66" s="47"/>
      <c r="O66" s="47"/>
      <c r="P66" s="47"/>
      <c r="Q66" s="47"/>
      <c r="V66" s="14"/>
    </row>
    <row r="67" spans="1:25" ht="19.5" thickBot="1" x14ac:dyDescent="0.35">
      <c r="B67" s="41" t="s">
        <v>3</v>
      </c>
      <c r="C67" s="42"/>
      <c r="D67" s="43"/>
      <c r="E67" s="55">
        <v>0</v>
      </c>
      <c r="F67" s="56">
        <v>6.6079975297205426E-2</v>
      </c>
      <c r="G67" s="57">
        <v>-9.1962346125995659E-2</v>
      </c>
      <c r="H67" s="56">
        <v>1.872408293460925</v>
      </c>
      <c r="I67" s="57">
        <v>-1</v>
      </c>
      <c r="J67" s="47"/>
      <c r="K67" s="47"/>
      <c r="L67" s="47"/>
      <c r="M67" s="47"/>
      <c r="N67" s="47"/>
      <c r="O67" s="47"/>
      <c r="P67" s="47"/>
      <c r="Q67" s="47"/>
      <c r="V67" s="14"/>
    </row>
    <row r="68" spans="1:25" ht="19.5" thickBot="1" x14ac:dyDescent="0.35">
      <c r="B68" s="41" t="s">
        <v>4</v>
      </c>
      <c r="C68" s="42"/>
      <c r="D68" s="43"/>
      <c r="E68" s="55">
        <v>0</v>
      </c>
      <c r="F68" s="56">
        <v>5.8989788475565325E-2</v>
      </c>
      <c r="G68" s="56">
        <v>0.23306069737408527</v>
      </c>
      <c r="H68" s="56">
        <v>1.0152213378019828</v>
      </c>
      <c r="I68" s="57">
        <v>-1</v>
      </c>
      <c r="J68" s="47"/>
      <c r="K68" s="47"/>
      <c r="L68" s="47"/>
      <c r="M68" s="47"/>
      <c r="N68" s="47"/>
      <c r="O68" s="47"/>
      <c r="P68" s="47"/>
      <c r="Q68" s="47"/>
      <c r="V68" s="14"/>
    </row>
    <row r="69" spans="1:25" ht="19.5" thickBot="1" x14ac:dyDescent="0.35">
      <c r="B69" s="41" t="s">
        <v>9</v>
      </c>
      <c r="C69" s="42"/>
      <c r="D69" s="43"/>
      <c r="E69" s="55">
        <v>0</v>
      </c>
      <c r="F69" s="57">
        <v>-2.9069767441860465E-3</v>
      </c>
      <c r="G69" s="57">
        <v>-0.11253644314868805</v>
      </c>
      <c r="H69" s="56">
        <v>0.68692509855453354</v>
      </c>
      <c r="I69" s="57">
        <v>-1</v>
      </c>
      <c r="J69" s="47"/>
      <c r="K69" s="47"/>
      <c r="L69" s="47"/>
      <c r="M69" s="47"/>
      <c r="N69" s="47"/>
      <c r="O69" s="47"/>
      <c r="P69" s="47"/>
      <c r="Q69" s="47"/>
      <c r="V69" s="14"/>
    </row>
    <row r="70" spans="1:25" ht="19.5" thickBot="1" x14ac:dyDescent="0.35">
      <c r="B70" s="44" t="s">
        <v>8</v>
      </c>
      <c r="C70" s="44"/>
      <c r="D70" s="44"/>
      <c r="E70" s="55">
        <v>0</v>
      </c>
      <c r="F70" s="57">
        <v>-3.8461538461538464E-2</v>
      </c>
      <c r="G70" s="56">
        <v>5.5E-2</v>
      </c>
      <c r="H70" s="56">
        <v>1.971563981042654</v>
      </c>
      <c r="I70" s="57">
        <v>-1</v>
      </c>
      <c r="J70" s="47"/>
      <c r="K70" s="47"/>
      <c r="L70" s="47"/>
      <c r="M70" s="47"/>
      <c r="N70" s="47"/>
      <c r="O70" s="47"/>
      <c r="P70" s="47"/>
      <c r="Q70" s="47"/>
      <c r="V70" s="14"/>
    </row>
    <row r="71" spans="1:25" x14ac:dyDescent="0.25">
      <c r="V71" s="14"/>
    </row>
    <row r="72" spans="1:25" x14ac:dyDescent="0.25">
      <c r="A72" s="14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</row>
    <row r="73" spans="1:25" ht="23.25" x14ac:dyDescent="0.35">
      <c r="A73" s="19" t="s">
        <v>11</v>
      </c>
      <c r="B73" s="18">
        <f>WybranyRok</f>
        <v>2024</v>
      </c>
      <c r="C73" s="14"/>
      <c r="D73" s="19" t="s">
        <v>30</v>
      </c>
      <c r="E73" s="18" t="str">
        <f>E4</f>
        <v>Styczeń</v>
      </c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</row>
    <row r="74" spans="1:25" x14ac:dyDescent="0.25">
      <c r="A74" s="14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</row>
    <row r="75" spans="1:25" ht="15" customHeight="1" x14ac:dyDescent="0.25">
      <c r="V75" s="14"/>
    </row>
    <row r="76" spans="1:25" ht="15.75" customHeight="1" x14ac:dyDescent="0.25">
      <c r="H76" s="99" t="str">
        <f>"Budżet na "&amp;E4</f>
        <v>Budżet na Styczeń</v>
      </c>
      <c r="I76" s="99"/>
      <c r="J76" s="99"/>
      <c r="K76" s="99"/>
      <c r="L76" s="99"/>
      <c r="M76" s="99"/>
      <c r="N76" s="99"/>
      <c r="V76" s="14"/>
    </row>
    <row r="77" spans="1:25" x14ac:dyDescent="0.25">
      <c r="H77" s="99"/>
      <c r="I77" s="99"/>
      <c r="J77" s="99"/>
      <c r="K77" s="99"/>
      <c r="L77" s="99"/>
      <c r="M77" s="99"/>
      <c r="N77" s="99"/>
      <c r="V77" s="14"/>
      <c r="X77" s="71" t="s">
        <v>13</v>
      </c>
      <c r="Y77" s="71" t="s">
        <v>29</v>
      </c>
    </row>
    <row r="78" spans="1:25" x14ac:dyDescent="0.25">
      <c r="V78" s="14"/>
      <c r="X78" s="67" t="s">
        <v>60</v>
      </c>
      <c r="Y78" s="67" t="e">
        <f>IF(SUMIFS(Tabela2[Kwota], Tabela2[Kategoria], Q84, Tabela2[Data], "&gt;=" &amp; DATE(WybranyRok, WybranyMiesiac, 1), Tabela2[Data], "&lt;=" &amp; DATE(WybranyRok, WybranyMiesiac + 1, 0))=0,NA(),SUMIFS(Tabela2[Kwota], Tabela2[Kategoria], Q84, Tabela2[Data], "&gt;=" &amp; DATE(WybranyRok, WybranyMiesiac, 1), Tabela2[Data], "&lt;=" &amp; DATE(WybranyRok, WybranyMiesiac + 1, 0)))</f>
        <v>#N/A</v>
      </c>
    </row>
    <row r="79" spans="1:25" x14ac:dyDescent="0.25">
      <c r="V79" s="14"/>
      <c r="X79" s="68" t="s">
        <v>61</v>
      </c>
      <c r="Y79" s="67">
        <f>IF(SUMIFS(Tabela2[Kwota], Tabela2[Kategoria], Q85, Tabela2[Data], "&gt;=" &amp; DATE(WybranyRok, WybranyMiesiac, 1), Tabela2[Data], "&lt;=" &amp; DATE(WybranyRok, WybranyMiesiac + 1, 0))=0,NA(),SUMIFS(Tabela2[Kwota], Tabela2[Kategoria], Q85, Tabela2[Data], "&gt;=" &amp; DATE(WybranyRok, WybranyMiesiac, 1), Tabela2[Data], "&lt;=" &amp; DATE(WybranyRok, WybranyMiesiac + 1, 0)))</f>
        <v>45</v>
      </c>
    </row>
    <row r="80" spans="1:25" x14ac:dyDescent="0.25">
      <c r="V80" s="14"/>
      <c r="X80" s="67" t="s">
        <v>62</v>
      </c>
      <c r="Y80" s="67" t="e">
        <f>IF(SUMIFS(Tabela2[Kwota], Tabela2[Kategoria], Q86, Tabela2[Data], "&gt;=" &amp; DATE(WybranyRok, WybranyMiesiac, 1), Tabela2[Data], "&lt;=" &amp; DATE(WybranyRok, WybranyMiesiac + 1, 0))=0,NA(),SUMIFS(Tabela2[Kwota], Tabela2[Kategoria], Q86, Tabela2[Data], "&gt;=" &amp; DATE(WybranyRok, WybranyMiesiac, 1), Tabela2[Data], "&lt;=" &amp; DATE(WybranyRok, WybranyMiesiac + 1, 0)))</f>
        <v>#N/A</v>
      </c>
    </row>
    <row r="81" spans="10:25" ht="18.75" x14ac:dyDescent="0.3">
      <c r="J81" s="31" t="s">
        <v>67</v>
      </c>
      <c r="L81" s="80">
        <f>T90-T91</f>
        <v>1032</v>
      </c>
      <c r="V81" s="14"/>
      <c r="X81" s="68" t="s">
        <v>63</v>
      </c>
      <c r="Y81" s="67">
        <f>IF(SUMIFS(Tabela2[Kwota], Tabela2[Kategoria], Q87, Tabela2[Data], "&gt;=" &amp; DATE(WybranyRok, WybranyMiesiac, 1), Tabela2[Data], "&lt;=" &amp; DATE(WybranyRok, WybranyMiesiac + 1, 0))=0,NA(),SUMIFS(Tabela2[Kwota], Tabela2[Kategoria], Q87, Tabela2[Data], "&gt;=" &amp; DATE(WybranyRok, WybranyMiesiac, 1), Tabela2[Data], "&lt;=" &amp; DATE(WybranyRok, WybranyMiesiac + 1, 0)))</f>
        <v>100</v>
      </c>
    </row>
    <row r="82" spans="10:25" ht="15.75" thickBot="1" x14ac:dyDescent="0.3">
      <c r="V82" s="14"/>
      <c r="X82" s="67" t="s">
        <v>64</v>
      </c>
      <c r="Y82" s="67">
        <f>IF(SUMIFS(Tabela2[Kwota], Tabela2[Kategoria], Q88, Tabela2[Data], "&gt;=" &amp; DATE(WybranyRok, WybranyMiesiac, 1), Tabela2[Data], "&lt;=" &amp; DATE(WybranyRok, WybranyMiesiac + 1, 0))=0,NA(),SUMIFS(Tabela2[Kwota], Tabela2[Kategoria], Q88, Tabela2[Data], "&gt;=" &amp; DATE(WybranyRok, WybranyMiesiac, 1), Tabela2[Data], "&lt;=" &amp; DATE(WybranyRok, WybranyMiesiac + 1, 0)))</f>
        <v>350</v>
      </c>
    </row>
    <row r="83" spans="10:25" ht="21.75" thickBot="1" x14ac:dyDescent="0.4">
      <c r="Q83" s="91" t="str">
        <f>"Przychód za "&amp;E4</f>
        <v>Przychód za Styczeń</v>
      </c>
      <c r="R83" s="92"/>
      <c r="S83" s="92"/>
      <c r="T83" s="93"/>
      <c r="V83" s="14"/>
      <c r="X83" s="68" t="s">
        <v>65</v>
      </c>
      <c r="Y83" s="67">
        <f>IF(SUMIFS(Tabela2[Kwota], Tabela2[Kategoria], Q89, Tabela2[Data], "&gt;=" &amp; DATE(WybranyRok, WybranyMiesiac, 1), Tabela2[Data], "&lt;=" &amp; DATE(WybranyRok, WybranyMiesiac + 1, 0))=0,NA(),SUMIFS(Tabela2[Kwota], Tabela2[Kategoria], Q89, Tabela2[Data], "&gt;=" &amp; DATE(WybranyRok, WybranyMiesiac, 1), Tabela2[Data], "&lt;=" &amp; DATE(WybranyRok, WybranyMiesiac + 1, 0)))</f>
        <v>3500</v>
      </c>
    </row>
    <row r="84" spans="10:25" ht="19.5" thickBot="1" x14ac:dyDescent="0.35">
      <c r="Q84" s="28" t="s">
        <v>60</v>
      </c>
      <c r="R84" s="29"/>
      <c r="S84" s="30"/>
      <c r="T84" s="4">
        <f>SUMIFS(Tabela2[Kwota], Tabela2[Kategoria], Q$84, Tabela2[Data], "&gt;=" &amp; DATE(WybranyRok, WybranyMiesiac, 1), Tabela2[Data], "&lt;=" &amp; DATE(WybranyRok, WybranyMiesiac + 1, 0))</f>
        <v>0</v>
      </c>
      <c r="V84" s="14"/>
    </row>
    <row r="85" spans="10:25" ht="19.5" thickBot="1" x14ac:dyDescent="0.35">
      <c r="Q85" s="7" t="s">
        <v>61</v>
      </c>
      <c r="R85" s="8"/>
      <c r="S85" s="9"/>
      <c r="T85" s="4">
        <f>SUMIFS(Tabela2[Kwota], Tabela2[Kategoria], Q$85, Tabela2[Data], "&gt;=" &amp; DATE(WybranyRok, WybranyMiesiac, 1), Tabela2[Data], "&lt;=" &amp; DATE(WybranyRok, WybranyMiesiac + 1, 0))</f>
        <v>45</v>
      </c>
      <c r="V85" s="14"/>
    </row>
    <row r="86" spans="10:25" ht="19.5" thickBot="1" x14ac:dyDescent="0.35">
      <c r="Q86" s="7" t="s">
        <v>62</v>
      </c>
      <c r="R86" s="8"/>
      <c r="S86" s="9"/>
      <c r="T86" s="4">
        <f>SUMIFS(Tabela2[Kwota], Tabela2[Kategoria], Q$86, Tabela2[Data], "&gt;=" &amp; DATE(WybranyRok, WybranyMiesiac, 1), Tabela2[Data], "&lt;=" &amp; DATE(WybranyRok, WybranyMiesiac + 1, 0))</f>
        <v>0</v>
      </c>
      <c r="V86" s="14"/>
    </row>
    <row r="87" spans="10:25" ht="19.5" thickBot="1" x14ac:dyDescent="0.35">
      <c r="Q87" s="7" t="s">
        <v>63</v>
      </c>
      <c r="R87" s="8"/>
      <c r="S87" s="9"/>
      <c r="T87" s="4">
        <f>SUMIFS(Tabela2[Kwota], Tabela2[Kategoria], Q$87, Tabela2[Data], "&gt;=" &amp; DATE(WybranyRok, WybranyMiesiac, 1), Tabela2[Data], "&lt;=" &amp; DATE(WybranyRok, WybranyMiesiac + 1, 0))</f>
        <v>100</v>
      </c>
      <c r="V87" s="14"/>
    </row>
    <row r="88" spans="10:25" ht="19.5" thickBot="1" x14ac:dyDescent="0.35">
      <c r="Q88" s="7" t="s">
        <v>64</v>
      </c>
      <c r="S88" s="9"/>
      <c r="T88" s="4">
        <f>SUMIFS(Tabela2[Kwota], Tabela2[Kategoria], Q$88, Tabela2[Data], "&gt;=" &amp; DATE(WybranyRok, WybranyMiesiac, 1), Tabela2[Data], "&lt;=" &amp; DATE(WybranyRok, WybranyMiesiac + 1, 0))</f>
        <v>350</v>
      </c>
      <c r="V88" s="14"/>
    </row>
    <row r="89" spans="10:25" ht="19.5" thickBot="1" x14ac:dyDescent="0.35">
      <c r="Q89" s="7" t="s">
        <v>65</v>
      </c>
      <c r="R89" s="8"/>
      <c r="S89" s="9"/>
      <c r="T89" s="4">
        <f>SUMIFS(Tabela2[Kwota], Tabela2[Kategoria], Q$89, Tabela2[Data], "&gt;=" &amp; DATE(WybranyRok, WybranyMiesiac, 1), Tabela2[Data], "&lt;=" &amp; DATE(WybranyRok, WybranyMiesiac + 1, 0))</f>
        <v>3500</v>
      </c>
      <c r="V89" s="14"/>
    </row>
    <row r="90" spans="10:25" ht="19.5" thickBot="1" x14ac:dyDescent="0.35">
      <c r="Q90" s="108" t="s">
        <v>66</v>
      </c>
      <c r="R90" s="109"/>
      <c r="S90" s="110"/>
      <c r="T90" s="11">
        <f>SUM(T84:T89)</f>
        <v>3995</v>
      </c>
      <c r="V90" s="14"/>
    </row>
    <row r="91" spans="10:25" ht="20.25" thickTop="1" thickBot="1" x14ac:dyDescent="0.35">
      <c r="Q91" s="108" t="s">
        <v>27</v>
      </c>
      <c r="R91" s="109"/>
      <c r="S91" s="110"/>
      <c r="T91" s="11">
        <f>SUM(T16:T25)</f>
        <v>2963</v>
      </c>
      <c r="V91" s="14"/>
    </row>
    <row r="92" spans="10:25" ht="15.75" thickTop="1" x14ac:dyDescent="0.25">
      <c r="V92" s="14"/>
    </row>
    <row r="93" spans="10:25" x14ac:dyDescent="0.25">
      <c r="V93" s="14"/>
    </row>
    <row r="94" spans="10:25" x14ac:dyDescent="0.25">
      <c r="V94" s="14"/>
    </row>
    <row r="95" spans="10:25" x14ac:dyDescent="0.25">
      <c r="V95" s="14"/>
    </row>
    <row r="96" spans="10:25" x14ac:dyDescent="0.25">
      <c r="V96" s="14"/>
    </row>
    <row r="97" spans="2:22" x14ac:dyDescent="0.25">
      <c r="V97" s="14"/>
    </row>
    <row r="98" spans="2:22" x14ac:dyDescent="0.25">
      <c r="V98" s="14"/>
    </row>
    <row r="99" spans="2:22" x14ac:dyDescent="0.25">
      <c r="V99" s="14"/>
    </row>
    <row r="100" spans="2:22" x14ac:dyDescent="0.25">
      <c r="V100" s="14"/>
    </row>
    <row r="101" spans="2:22" x14ac:dyDescent="0.25">
      <c r="V101" s="14"/>
    </row>
    <row r="102" spans="2:22" ht="15.75" thickBot="1" x14ac:dyDescent="0.3">
      <c r="V102" s="14"/>
    </row>
    <row r="103" spans="2:22" ht="21.75" thickBot="1" x14ac:dyDescent="0.4">
      <c r="B103" s="91" t="str">
        <f>"Sredni miesięczny przychód za rok "&amp;WybranyRok</f>
        <v>Sredni miesięczny przychód za rok 2024</v>
      </c>
      <c r="C103" s="92"/>
      <c r="D103" s="92"/>
      <c r="E103" s="93"/>
      <c r="V103" s="14"/>
    </row>
    <row r="104" spans="2:22" ht="19.5" thickBot="1" x14ac:dyDescent="0.35">
      <c r="B104" s="28" t="s">
        <v>60</v>
      </c>
      <c r="C104" s="29"/>
      <c r="D104" s="30"/>
      <c r="E104" s="4">
        <v>4120</v>
      </c>
      <c r="V104" s="14"/>
    </row>
    <row r="105" spans="2:22" ht="19.5" thickBot="1" x14ac:dyDescent="0.35">
      <c r="B105" s="7" t="s">
        <v>61</v>
      </c>
      <c r="C105" s="8"/>
      <c r="D105" s="9"/>
      <c r="E105" s="5">
        <v>450</v>
      </c>
      <c r="V105" s="14"/>
    </row>
    <row r="106" spans="2:22" ht="19.5" thickBot="1" x14ac:dyDescent="0.35">
      <c r="B106" s="7" t="s">
        <v>62</v>
      </c>
      <c r="C106" s="8"/>
      <c r="D106" s="9"/>
      <c r="E106" s="5">
        <v>0</v>
      </c>
      <c r="V106" s="14"/>
    </row>
    <row r="107" spans="2:22" ht="19.5" thickBot="1" x14ac:dyDescent="0.35">
      <c r="B107" s="7" t="s">
        <v>63</v>
      </c>
      <c r="C107" s="8"/>
      <c r="D107" s="9"/>
      <c r="E107" s="5">
        <v>0</v>
      </c>
      <c r="V107" s="14"/>
    </row>
    <row r="108" spans="2:22" ht="19.5" thickBot="1" x14ac:dyDescent="0.35">
      <c r="B108" s="7" t="s">
        <v>64</v>
      </c>
      <c r="D108" s="9"/>
      <c r="E108" s="5">
        <v>120</v>
      </c>
      <c r="V108" s="14"/>
    </row>
    <row r="109" spans="2:22" ht="19.5" thickBot="1" x14ac:dyDescent="0.35">
      <c r="B109" s="7" t="s">
        <v>65</v>
      </c>
      <c r="C109" s="8"/>
      <c r="D109" s="9"/>
      <c r="E109" s="5">
        <v>2200</v>
      </c>
      <c r="V109" s="14"/>
    </row>
    <row r="110" spans="2:22" ht="19.5" thickBot="1" x14ac:dyDescent="0.35">
      <c r="B110" s="10" t="s">
        <v>68</v>
      </c>
      <c r="C110" s="10"/>
      <c r="D110" s="10"/>
      <c r="E110" s="11">
        <v>6890</v>
      </c>
      <c r="V110" s="14"/>
    </row>
    <row r="111" spans="2:22" ht="15.75" thickTop="1" x14ac:dyDescent="0.25">
      <c r="V111" s="14"/>
    </row>
    <row r="112" spans="2:22" ht="21.75" thickBot="1" x14ac:dyDescent="0.4">
      <c r="B112" s="97" t="str">
        <f>"Wydatki a Przychód za rok "&amp;WybranyRok</f>
        <v>Wydatki a Przychód za rok 2024</v>
      </c>
      <c r="C112" s="98"/>
      <c r="D112" s="98"/>
      <c r="E112" s="98"/>
      <c r="F112" s="98"/>
      <c r="G112" s="98"/>
      <c r="H112" s="98"/>
      <c r="I112" s="98"/>
      <c r="J112" s="98"/>
      <c r="K112" s="98"/>
      <c r="L112" s="98"/>
      <c r="M112" s="98"/>
      <c r="N112" s="98"/>
      <c r="O112" s="98"/>
      <c r="P112" s="98"/>
      <c r="Q112" s="98"/>
      <c r="R112" s="98"/>
      <c r="S112" s="98"/>
      <c r="T112" s="98"/>
      <c r="V112" s="14"/>
    </row>
    <row r="113" spans="1:22" ht="19.5" thickBot="1" x14ac:dyDescent="0.35">
      <c r="B113" s="94"/>
      <c r="C113" s="95"/>
      <c r="D113" s="96"/>
      <c r="E113" s="45" t="s">
        <v>48</v>
      </c>
      <c r="F113" s="45" t="s">
        <v>47</v>
      </c>
      <c r="G113" s="45" t="s">
        <v>49</v>
      </c>
      <c r="H113" s="45" t="s">
        <v>50</v>
      </c>
      <c r="I113" s="45" t="s">
        <v>51</v>
      </c>
      <c r="J113" s="45" t="s">
        <v>52</v>
      </c>
      <c r="K113" s="45" t="s">
        <v>53</v>
      </c>
      <c r="L113" s="45" t="s">
        <v>54</v>
      </c>
      <c r="M113" s="45" t="s">
        <v>55</v>
      </c>
      <c r="N113" s="45" t="s">
        <v>56</v>
      </c>
      <c r="O113" s="45" t="s">
        <v>57</v>
      </c>
      <c r="P113" s="45" t="s">
        <v>58</v>
      </c>
      <c r="Q113" s="85" t="s">
        <v>71</v>
      </c>
      <c r="R113" s="86"/>
      <c r="S113" s="86"/>
      <c r="T113" s="87"/>
      <c r="V113" s="14"/>
    </row>
    <row r="114" spans="1:22" ht="19.5" thickBot="1" x14ac:dyDescent="0.35">
      <c r="B114" s="38" t="s">
        <v>69</v>
      </c>
      <c r="C114" s="39"/>
      <c r="D114" s="40"/>
      <c r="E114" s="72">
        <v>1640.05</v>
      </c>
      <c r="F114" s="74">
        <v>867</v>
      </c>
      <c r="G114" s="75">
        <v>2426.4499999999998</v>
      </c>
      <c r="H114" s="73">
        <v>1313.2</v>
      </c>
      <c r="I114" s="73">
        <v>1105.8</v>
      </c>
      <c r="J114" s="73">
        <v>1270.8</v>
      </c>
      <c r="K114" s="73">
        <v>2281.25</v>
      </c>
      <c r="L114" s="73">
        <v>992.75</v>
      </c>
      <c r="M114" s="73">
        <v>1098.4000000000001</v>
      </c>
      <c r="N114" s="73">
        <v>743</v>
      </c>
      <c r="O114" s="73">
        <v>737.6</v>
      </c>
      <c r="P114" s="73">
        <v>1765</v>
      </c>
      <c r="Q114" s="88" t="str">
        <f>"- "&amp;SUM(E114:P114)</f>
        <v>- 16241,3</v>
      </c>
      <c r="R114" s="89"/>
      <c r="S114" s="89"/>
      <c r="T114" s="90"/>
      <c r="V114" s="14"/>
    </row>
    <row r="115" spans="1:22" ht="19.5" thickBot="1" x14ac:dyDescent="0.35">
      <c r="B115" s="41" t="s">
        <v>70</v>
      </c>
      <c r="C115" s="42"/>
      <c r="D115" s="43"/>
      <c r="E115" s="76">
        <v>120</v>
      </c>
      <c r="F115" s="77">
        <v>240</v>
      </c>
      <c r="G115" s="78">
        <v>2200</v>
      </c>
      <c r="H115" s="79">
        <v>4400</v>
      </c>
      <c r="I115" s="79">
        <v>0</v>
      </c>
      <c r="J115" s="79">
        <v>5500</v>
      </c>
      <c r="K115" s="79">
        <v>5800</v>
      </c>
      <c r="L115" s="79">
        <v>6000</v>
      </c>
      <c r="M115" s="79">
        <v>1600</v>
      </c>
      <c r="N115" s="79">
        <v>1700</v>
      </c>
      <c r="O115" s="79">
        <v>450</v>
      </c>
      <c r="P115" s="79">
        <v>0</v>
      </c>
      <c r="Q115" s="88" t="str">
        <f>"+ " &amp;SUM(E115:P115)</f>
        <v>+ 28010</v>
      </c>
      <c r="R115" s="89"/>
      <c r="S115" s="89"/>
      <c r="T115" s="90"/>
      <c r="V115" s="14"/>
    </row>
    <row r="116" spans="1:22" x14ac:dyDescent="0.25">
      <c r="V116" s="14"/>
    </row>
    <row r="117" spans="1:22" x14ac:dyDescent="0.25">
      <c r="V117" s="14"/>
    </row>
    <row r="118" spans="1:22" x14ac:dyDescent="0.25">
      <c r="A118" s="14"/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</row>
    <row r="119" spans="1:22" x14ac:dyDescent="0.25">
      <c r="A119" s="14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</row>
    <row r="120" spans="1:22" x14ac:dyDescent="0.25">
      <c r="A120" s="14"/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</row>
  </sheetData>
  <mergeCells count="21">
    <mergeCell ref="Q83:T83"/>
    <mergeCell ref="Q90:S90"/>
    <mergeCell ref="Q91:S91"/>
    <mergeCell ref="H76:N77"/>
    <mergeCell ref="Q29:S29"/>
    <mergeCell ref="B60:D60"/>
    <mergeCell ref="B32:E32"/>
    <mergeCell ref="H7:N8"/>
    <mergeCell ref="Q15:T15"/>
    <mergeCell ref="L32:O32"/>
    <mergeCell ref="B47:D47"/>
    <mergeCell ref="B46:P46"/>
    <mergeCell ref="B59:I59"/>
    <mergeCell ref="Q25:S25"/>
    <mergeCell ref="Q26:S26"/>
    <mergeCell ref="Q113:T113"/>
    <mergeCell ref="Q114:T114"/>
    <mergeCell ref="Q115:T115"/>
    <mergeCell ref="B103:E103"/>
    <mergeCell ref="B113:D113"/>
    <mergeCell ref="B112:T112"/>
  </mergeCells>
  <phoneticPr fontId="14" type="noConversion"/>
  <conditionalFormatting sqref="L13">
    <cfRule type="cellIs" dxfId="5" priority="11" operator="greaterThan">
      <formula>0</formula>
    </cfRule>
    <cfRule type="cellIs" dxfId="4" priority="12" operator="lessThan">
      <formula>0</formula>
    </cfRule>
  </conditionalFormatting>
  <conditionalFormatting sqref="L81">
    <cfRule type="cellIs" dxfId="3" priority="1" operator="lessThan">
      <formula>0</formula>
    </cfRule>
    <cfRule type="cellIs" dxfId="2" priority="2" operator="greaterThan">
      <formula>0</formula>
    </cfRule>
    <cfRule type="cellIs" dxfId="1" priority="3" operator="lessThan">
      <formula>0</formula>
    </cfRule>
    <cfRule type="cellIs" dxfId="0" priority="4" operator="greaterThan">
      <formula>0</formula>
    </cfRule>
  </conditionalFormatting>
  <pageMargins left="0.7" right="0.7" top="0.75" bottom="0.75" header="0.3" footer="0.3"/>
  <pageSetup paperSize="9" scale="68" orientation="portrait" r:id="rId1"/>
  <colBreaks count="2" manualBreakCount="2">
    <brk id="6" max="33" man="1"/>
    <brk id="16" max="1048575" man="1"/>
  </colBreaks>
  <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46539-CF28-461E-8ADD-33DBDF0D4725}">
  <sheetPr codeName="Arkusz2"/>
  <dimension ref="A1:F438"/>
  <sheetViews>
    <sheetView workbookViewId="0">
      <selection activeCell="A439" sqref="A439:C439"/>
    </sheetView>
  </sheetViews>
  <sheetFormatPr defaultRowHeight="15" x14ac:dyDescent="0.25"/>
  <cols>
    <col min="1" max="1" width="15.28515625" bestFit="1" customWidth="1"/>
    <col min="2" max="2" width="24" bestFit="1" customWidth="1"/>
    <col min="3" max="3" width="18.5703125" customWidth="1"/>
    <col min="5" max="5" width="12.42578125" bestFit="1" customWidth="1"/>
    <col min="6" max="6" width="17.7109375" bestFit="1" customWidth="1"/>
    <col min="7" max="7" width="13.28515625" bestFit="1" customWidth="1"/>
    <col min="8" max="8" width="20" customWidth="1"/>
  </cols>
  <sheetData>
    <row r="1" spans="1:5" ht="18.75" x14ac:dyDescent="0.3">
      <c r="A1" s="111" t="s">
        <v>10</v>
      </c>
      <c r="B1" s="111"/>
      <c r="C1" s="111"/>
    </row>
    <row r="2" spans="1:5" ht="18.75" x14ac:dyDescent="0.3">
      <c r="A2" s="32" t="s">
        <v>34</v>
      </c>
      <c r="B2" s="32" t="s">
        <v>35</v>
      </c>
      <c r="C2" s="32" t="s">
        <v>29</v>
      </c>
    </row>
    <row r="3" spans="1:5" ht="15.75" x14ac:dyDescent="0.25">
      <c r="A3" s="33">
        <v>43831</v>
      </c>
      <c r="B3" s="48" t="s">
        <v>6</v>
      </c>
      <c r="C3" s="49">
        <v>500</v>
      </c>
    </row>
    <row r="4" spans="1:5" ht="15.75" x14ac:dyDescent="0.25">
      <c r="A4" s="33">
        <v>43831</v>
      </c>
      <c r="B4" s="48" t="s">
        <v>7</v>
      </c>
      <c r="C4" s="49">
        <v>130</v>
      </c>
    </row>
    <row r="5" spans="1:5" ht="15.75" x14ac:dyDescent="0.25">
      <c r="A5" s="33">
        <v>43831</v>
      </c>
      <c r="B5" s="48" t="s">
        <v>6</v>
      </c>
      <c r="C5" s="49">
        <v>1200.5</v>
      </c>
    </row>
    <row r="6" spans="1:5" ht="15.75" x14ac:dyDescent="0.25">
      <c r="A6" s="33">
        <v>43831</v>
      </c>
      <c r="B6" s="48" t="s">
        <v>6</v>
      </c>
      <c r="C6" s="49">
        <v>950.5</v>
      </c>
    </row>
    <row r="7" spans="1:5" ht="15.75" x14ac:dyDescent="0.25">
      <c r="A7" s="33">
        <v>43832</v>
      </c>
      <c r="B7" s="48" t="s">
        <v>5</v>
      </c>
      <c r="C7" s="49">
        <v>250.75</v>
      </c>
    </row>
    <row r="8" spans="1:5" ht="15.75" x14ac:dyDescent="0.25">
      <c r="A8" s="33">
        <v>43832</v>
      </c>
      <c r="B8" s="48" t="s">
        <v>5</v>
      </c>
      <c r="C8" s="49">
        <v>200.75</v>
      </c>
    </row>
    <row r="9" spans="1:5" ht="15.75" x14ac:dyDescent="0.25">
      <c r="A9" s="33">
        <v>43835</v>
      </c>
      <c r="B9" s="48" t="s">
        <v>0</v>
      </c>
      <c r="C9" s="49">
        <v>80</v>
      </c>
    </row>
    <row r="10" spans="1:5" ht="15.75" x14ac:dyDescent="0.25">
      <c r="A10" s="33">
        <v>43850</v>
      </c>
      <c r="B10" s="48" t="s">
        <v>2</v>
      </c>
      <c r="C10" s="49">
        <v>220</v>
      </c>
    </row>
    <row r="11" spans="1:5" ht="15.75" x14ac:dyDescent="0.25">
      <c r="A11" s="33">
        <v>43863</v>
      </c>
      <c r="B11" s="48" t="s">
        <v>3</v>
      </c>
      <c r="C11" s="49">
        <v>70.5</v>
      </c>
    </row>
    <row r="12" spans="1:5" ht="15.75" x14ac:dyDescent="0.25">
      <c r="A12" s="33">
        <v>43866</v>
      </c>
      <c r="B12" s="48" t="s">
        <v>5</v>
      </c>
      <c r="C12" s="49">
        <v>100</v>
      </c>
    </row>
    <row r="13" spans="1:5" ht="15.75" x14ac:dyDescent="0.25">
      <c r="A13" s="33">
        <v>43866</v>
      </c>
      <c r="B13" s="48" t="s">
        <v>1</v>
      </c>
      <c r="C13" s="49">
        <v>45</v>
      </c>
    </row>
    <row r="14" spans="1:5" ht="15.75" x14ac:dyDescent="0.25">
      <c r="A14" s="33">
        <v>43866</v>
      </c>
      <c r="B14" s="48" t="s">
        <v>0</v>
      </c>
      <c r="C14" s="49">
        <v>60</v>
      </c>
    </row>
    <row r="15" spans="1:5" ht="15.75" x14ac:dyDescent="0.25">
      <c r="A15" s="33">
        <v>43871</v>
      </c>
      <c r="B15" s="48" t="s">
        <v>7</v>
      </c>
      <c r="C15" s="49">
        <v>300</v>
      </c>
    </row>
    <row r="16" spans="1:5" ht="15.75" x14ac:dyDescent="0.25">
      <c r="A16" s="33">
        <v>43871</v>
      </c>
      <c r="B16" s="48" t="s">
        <v>4</v>
      </c>
      <c r="C16" s="49">
        <v>160.30000000000001</v>
      </c>
      <c r="E16" s="37"/>
    </row>
    <row r="17" spans="1:3" ht="15.75" x14ac:dyDescent="0.25">
      <c r="A17" s="33">
        <v>43876</v>
      </c>
      <c r="B17" s="48" t="s">
        <v>1</v>
      </c>
      <c r="C17" s="49">
        <v>50.2</v>
      </c>
    </row>
    <row r="18" spans="1:3" ht="15.75" x14ac:dyDescent="0.25">
      <c r="A18" s="33">
        <v>43900</v>
      </c>
      <c r="B18" s="48" t="s">
        <v>0</v>
      </c>
      <c r="C18" s="49">
        <v>200</v>
      </c>
    </row>
    <row r="19" spans="1:3" ht="15.75" x14ac:dyDescent="0.25">
      <c r="A19" s="33">
        <v>43900</v>
      </c>
      <c r="B19" s="48" t="s">
        <v>2</v>
      </c>
      <c r="C19" s="49">
        <v>250</v>
      </c>
    </row>
    <row r="20" spans="1:3" ht="15.75" x14ac:dyDescent="0.25">
      <c r="A20" s="33">
        <v>43900</v>
      </c>
      <c r="B20" s="48" t="s">
        <v>7</v>
      </c>
      <c r="C20" s="49">
        <v>300</v>
      </c>
    </row>
    <row r="21" spans="1:3" ht="15.75" x14ac:dyDescent="0.25">
      <c r="A21" s="33">
        <v>43905</v>
      </c>
      <c r="B21" s="48" t="s">
        <v>1</v>
      </c>
      <c r="C21" s="49">
        <v>50.2</v>
      </c>
    </row>
    <row r="22" spans="1:3" ht="15.75" x14ac:dyDescent="0.25">
      <c r="A22" s="33">
        <v>43905</v>
      </c>
      <c r="B22" s="48" t="s">
        <v>9</v>
      </c>
      <c r="C22" s="49">
        <v>520</v>
      </c>
    </row>
    <row r="23" spans="1:3" ht="15.75" x14ac:dyDescent="0.25">
      <c r="A23" s="33">
        <v>43910</v>
      </c>
      <c r="B23" s="48" t="s">
        <v>2</v>
      </c>
      <c r="C23" s="49">
        <v>200</v>
      </c>
    </row>
    <row r="24" spans="1:3" ht="15.75" x14ac:dyDescent="0.25">
      <c r="A24" s="33">
        <v>43910</v>
      </c>
      <c r="B24" s="48" t="s">
        <v>8</v>
      </c>
      <c r="C24" s="49">
        <v>110</v>
      </c>
    </row>
    <row r="25" spans="1:3" ht="15.75" x14ac:dyDescent="0.25">
      <c r="A25" s="33">
        <v>43922</v>
      </c>
      <c r="B25" s="48" t="s">
        <v>6</v>
      </c>
      <c r="C25" s="49">
        <v>1300.5</v>
      </c>
    </row>
    <row r="26" spans="1:3" ht="15.75" x14ac:dyDescent="0.25">
      <c r="A26" s="33">
        <v>43923</v>
      </c>
      <c r="B26" s="48" t="s">
        <v>3</v>
      </c>
      <c r="C26" s="49">
        <v>80.5</v>
      </c>
    </row>
    <row r="27" spans="1:3" ht="15.75" x14ac:dyDescent="0.25">
      <c r="A27" s="33">
        <v>43923</v>
      </c>
      <c r="B27" s="48" t="s">
        <v>5</v>
      </c>
      <c r="C27" s="49">
        <v>240.75</v>
      </c>
    </row>
    <row r="28" spans="1:3" ht="15.75" x14ac:dyDescent="0.25">
      <c r="A28" s="33">
        <v>43931</v>
      </c>
      <c r="B28" s="48" t="s">
        <v>4</v>
      </c>
      <c r="C28" s="49">
        <v>150.30000000000001</v>
      </c>
    </row>
    <row r="29" spans="1:3" ht="15.75" x14ac:dyDescent="0.25">
      <c r="A29" s="33">
        <v>43936</v>
      </c>
      <c r="B29" s="48" t="s">
        <v>7</v>
      </c>
      <c r="C29" s="49">
        <v>150</v>
      </c>
    </row>
    <row r="30" spans="1:3" ht="15.75" x14ac:dyDescent="0.25">
      <c r="A30" s="33">
        <v>43936</v>
      </c>
      <c r="B30" s="48" t="s">
        <v>3</v>
      </c>
      <c r="C30" s="49">
        <v>85</v>
      </c>
    </row>
    <row r="31" spans="1:3" ht="15.75" x14ac:dyDescent="0.25">
      <c r="A31" s="33">
        <v>43941</v>
      </c>
      <c r="B31" s="48" t="s">
        <v>2</v>
      </c>
      <c r="C31" s="49">
        <v>180</v>
      </c>
    </row>
    <row r="32" spans="1:3" ht="15.75" x14ac:dyDescent="0.25">
      <c r="A32" s="33">
        <v>43953</v>
      </c>
      <c r="B32" s="48" t="s">
        <v>3</v>
      </c>
      <c r="C32" s="49">
        <v>75.5</v>
      </c>
    </row>
    <row r="33" spans="1:3" ht="15.75" x14ac:dyDescent="0.25">
      <c r="A33" s="33">
        <v>43956</v>
      </c>
      <c r="B33" s="48" t="s">
        <v>0</v>
      </c>
      <c r="C33" s="49">
        <v>78</v>
      </c>
    </row>
    <row r="34" spans="1:3" ht="15.75" x14ac:dyDescent="0.25">
      <c r="A34" s="33">
        <v>43961</v>
      </c>
      <c r="B34" s="48" t="s">
        <v>4</v>
      </c>
      <c r="C34" s="49">
        <v>130.30000000000001</v>
      </c>
    </row>
    <row r="35" spans="1:3" ht="15.75" x14ac:dyDescent="0.25">
      <c r="A35" s="33">
        <v>43966</v>
      </c>
      <c r="B35" s="48" t="s">
        <v>9</v>
      </c>
      <c r="C35" s="49">
        <v>500</v>
      </c>
    </row>
    <row r="36" spans="1:3" ht="15.75" x14ac:dyDescent="0.25">
      <c r="A36" s="33">
        <v>43971</v>
      </c>
      <c r="B36" s="48" t="s">
        <v>1</v>
      </c>
      <c r="C36" s="49">
        <v>50</v>
      </c>
    </row>
    <row r="37" spans="1:3" ht="15.75" x14ac:dyDescent="0.25">
      <c r="A37" s="33">
        <v>43971</v>
      </c>
      <c r="B37" s="48" t="s">
        <v>4</v>
      </c>
      <c r="C37" s="49">
        <v>110</v>
      </c>
    </row>
    <row r="38" spans="1:3" ht="15.75" x14ac:dyDescent="0.25">
      <c r="A38" s="33">
        <v>43971</v>
      </c>
      <c r="B38" s="48" t="s">
        <v>8</v>
      </c>
      <c r="C38" s="49">
        <v>120</v>
      </c>
    </row>
    <row r="39" spans="1:3" ht="15.75" x14ac:dyDescent="0.25">
      <c r="A39" s="33">
        <v>43983</v>
      </c>
      <c r="B39" s="48" t="s">
        <v>6</v>
      </c>
      <c r="C39" s="49">
        <v>1100</v>
      </c>
    </row>
    <row r="40" spans="1:3" ht="15.75" x14ac:dyDescent="0.25">
      <c r="A40" s="33">
        <v>43984</v>
      </c>
      <c r="B40" s="48" t="s">
        <v>5</v>
      </c>
      <c r="C40" s="49">
        <v>270.5</v>
      </c>
    </row>
    <row r="41" spans="1:3" ht="15.75" x14ac:dyDescent="0.25">
      <c r="A41" s="33">
        <v>43987</v>
      </c>
      <c r="B41" s="48" t="s">
        <v>0</v>
      </c>
      <c r="C41" s="49">
        <v>75</v>
      </c>
    </row>
    <row r="42" spans="1:3" ht="15.75" x14ac:dyDescent="0.25">
      <c r="A42" s="33">
        <v>43992</v>
      </c>
      <c r="B42" s="48" t="s">
        <v>7</v>
      </c>
      <c r="C42" s="49">
        <v>310</v>
      </c>
    </row>
    <row r="43" spans="1:3" ht="15.75" x14ac:dyDescent="0.25">
      <c r="A43" s="33">
        <v>43997</v>
      </c>
      <c r="B43" s="48" t="s">
        <v>1</v>
      </c>
      <c r="C43" s="49">
        <v>55.2</v>
      </c>
    </row>
    <row r="44" spans="1:3" ht="15.75" x14ac:dyDescent="0.25">
      <c r="A44" s="33">
        <v>43997</v>
      </c>
      <c r="B44" s="48" t="s">
        <v>9</v>
      </c>
      <c r="C44" s="49">
        <v>480</v>
      </c>
    </row>
    <row r="45" spans="1:3" ht="15.75" x14ac:dyDescent="0.25">
      <c r="A45" s="33">
        <v>44002</v>
      </c>
      <c r="B45" s="48" t="s">
        <v>8</v>
      </c>
      <c r="C45" s="49">
        <v>110</v>
      </c>
    </row>
    <row r="46" spans="1:3" ht="15.75" x14ac:dyDescent="0.25">
      <c r="A46" s="33">
        <v>44007</v>
      </c>
      <c r="B46" s="48" t="s">
        <v>2</v>
      </c>
      <c r="C46" s="49">
        <v>300</v>
      </c>
    </row>
    <row r="47" spans="1:3" ht="15.75" x14ac:dyDescent="0.25">
      <c r="A47" s="33">
        <v>44007</v>
      </c>
      <c r="B47" s="48" t="s">
        <v>9</v>
      </c>
      <c r="C47" s="49">
        <v>220</v>
      </c>
    </row>
    <row r="48" spans="1:3" ht="15.75" x14ac:dyDescent="0.25">
      <c r="A48" s="33">
        <v>44013</v>
      </c>
      <c r="B48" s="48" t="s">
        <v>6</v>
      </c>
      <c r="C48" s="49">
        <v>1020.5</v>
      </c>
    </row>
    <row r="49" spans="1:3" ht="15.75" x14ac:dyDescent="0.25">
      <c r="A49" s="33">
        <v>44014</v>
      </c>
      <c r="B49" s="48" t="s">
        <v>5</v>
      </c>
      <c r="C49" s="49">
        <v>220.75</v>
      </c>
    </row>
    <row r="50" spans="1:3" ht="15.75" x14ac:dyDescent="0.25">
      <c r="A50" s="33">
        <v>44022</v>
      </c>
      <c r="B50" s="48" t="s">
        <v>7</v>
      </c>
      <c r="C50" s="49">
        <v>320</v>
      </c>
    </row>
    <row r="51" spans="1:3" ht="15.75" x14ac:dyDescent="0.25">
      <c r="A51" s="33">
        <v>44027</v>
      </c>
      <c r="B51" s="48" t="s">
        <v>1</v>
      </c>
      <c r="C51" s="49">
        <v>48.8</v>
      </c>
    </row>
    <row r="52" spans="1:3" ht="15.75" x14ac:dyDescent="0.25">
      <c r="A52" s="33">
        <v>44032</v>
      </c>
      <c r="B52" s="48" t="s">
        <v>2</v>
      </c>
      <c r="C52" s="49">
        <v>190</v>
      </c>
    </row>
    <row r="53" spans="1:3" ht="15.75" x14ac:dyDescent="0.25">
      <c r="A53" s="33">
        <v>44042</v>
      </c>
      <c r="B53" s="48" t="s">
        <v>3</v>
      </c>
      <c r="C53" s="49">
        <v>80</v>
      </c>
    </row>
    <row r="54" spans="1:3" ht="15.75" x14ac:dyDescent="0.25">
      <c r="A54" s="33">
        <v>44042</v>
      </c>
      <c r="B54" s="48" t="s">
        <v>8</v>
      </c>
      <c r="C54" s="49">
        <v>150</v>
      </c>
    </row>
    <row r="55" spans="1:3" ht="15.75" x14ac:dyDescent="0.25">
      <c r="A55" s="33">
        <v>44045</v>
      </c>
      <c r="B55" s="48" t="s">
        <v>3</v>
      </c>
      <c r="C55" s="49">
        <v>85.5</v>
      </c>
    </row>
    <row r="56" spans="1:3" ht="15.75" x14ac:dyDescent="0.25">
      <c r="A56" s="33">
        <v>44048</v>
      </c>
      <c r="B56" s="48" t="s">
        <v>4</v>
      </c>
      <c r="C56" s="49">
        <v>120</v>
      </c>
    </row>
    <row r="57" spans="1:3" ht="15.75" x14ac:dyDescent="0.25">
      <c r="A57" s="33">
        <v>44048</v>
      </c>
      <c r="B57" s="48" t="s">
        <v>6</v>
      </c>
      <c r="C57" s="49">
        <v>580</v>
      </c>
    </row>
    <row r="58" spans="1:3" ht="15.75" x14ac:dyDescent="0.25">
      <c r="A58" s="33">
        <v>44048</v>
      </c>
      <c r="B58" s="48" t="s">
        <v>0</v>
      </c>
      <c r="C58" s="49">
        <v>70</v>
      </c>
    </row>
    <row r="59" spans="1:3" ht="15.75" x14ac:dyDescent="0.25">
      <c r="A59" s="33">
        <v>44053</v>
      </c>
      <c r="B59" s="48" t="s">
        <v>4</v>
      </c>
      <c r="C59" s="49">
        <v>145.30000000000001</v>
      </c>
    </row>
    <row r="60" spans="1:3" ht="15.75" x14ac:dyDescent="0.25">
      <c r="A60" s="33">
        <v>44063</v>
      </c>
      <c r="B60" s="48" t="s">
        <v>2</v>
      </c>
      <c r="C60" s="49">
        <v>180</v>
      </c>
    </row>
    <row r="61" spans="1:3" ht="15.75" x14ac:dyDescent="0.25">
      <c r="A61" s="33">
        <v>44076</v>
      </c>
      <c r="B61" s="48" t="s">
        <v>3</v>
      </c>
      <c r="C61" s="49">
        <v>90.2</v>
      </c>
    </row>
    <row r="62" spans="1:3" ht="15.75" x14ac:dyDescent="0.25">
      <c r="A62" s="33">
        <v>44084</v>
      </c>
      <c r="B62" s="48" t="s">
        <v>0</v>
      </c>
      <c r="C62" s="49">
        <v>100</v>
      </c>
    </row>
    <row r="63" spans="1:3" ht="15.75" x14ac:dyDescent="0.25">
      <c r="A63" s="33">
        <v>44084</v>
      </c>
      <c r="B63" s="48" t="s">
        <v>4</v>
      </c>
      <c r="C63" s="49">
        <v>140.30000000000001</v>
      </c>
    </row>
    <row r="64" spans="1:3" ht="15.75" x14ac:dyDescent="0.25">
      <c r="A64" s="33">
        <v>44084</v>
      </c>
      <c r="B64" s="48" t="s">
        <v>7</v>
      </c>
      <c r="C64" s="49">
        <v>320</v>
      </c>
    </row>
    <row r="65" spans="1:3" ht="15.75" x14ac:dyDescent="0.25">
      <c r="A65" s="33">
        <v>44084</v>
      </c>
      <c r="B65" s="48" t="s">
        <v>9</v>
      </c>
      <c r="C65" s="49">
        <v>250</v>
      </c>
    </row>
    <row r="66" spans="1:3" ht="15.75" x14ac:dyDescent="0.25">
      <c r="A66" s="33">
        <v>44089</v>
      </c>
      <c r="B66" s="48" t="s">
        <v>1</v>
      </c>
      <c r="C66" s="49">
        <v>55.2</v>
      </c>
    </row>
    <row r="67" spans="1:3" ht="15.75" x14ac:dyDescent="0.25">
      <c r="A67" s="33">
        <v>44089</v>
      </c>
      <c r="B67" s="48" t="s">
        <v>9</v>
      </c>
      <c r="C67" s="49">
        <v>490</v>
      </c>
    </row>
    <row r="68" spans="1:3" ht="15.75" x14ac:dyDescent="0.25">
      <c r="A68" s="33">
        <v>44094</v>
      </c>
      <c r="B68" s="48" t="s">
        <v>8</v>
      </c>
      <c r="C68" s="49">
        <v>125</v>
      </c>
    </row>
    <row r="69" spans="1:3" ht="15.75" x14ac:dyDescent="0.25">
      <c r="A69" s="33">
        <v>44105</v>
      </c>
      <c r="B69" s="48" t="s">
        <v>6</v>
      </c>
      <c r="C69" s="49">
        <v>1050.5</v>
      </c>
    </row>
    <row r="70" spans="1:3" ht="15.75" x14ac:dyDescent="0.25">
      <c r="A70" s="33">
        <v>44106</v>
      </c>
      <c r="B70" s="48" t="s">
        <v>5</v>
      </c>
      <c r="C70" s="49">
        <v>260.75</v>
      </c>
    </row>
    <row r="71" spans="1:3" ht="15.75" x14ac:dyDescent="0.25">
      <c r="A71" s="33">
        <v>44109</v>
      </c>
      <c r="B71" s="48" t="s">
        <v>0</v>
      </c>
      <c r="C71" s="49">
        <v>82</v>
      </c>
    </row>
    <row r="72" spans="1:3" ht="15.75" x14ac:dyDescent="0.25">
      <c r="A72" s="33">
        <v>44119</v>
      </c>
      <c r="B72" s="48" t="s">
        <v>8</v>
      </c>
      <c r="C72" s="49">
        <v>180</v>
      </c>
    </row>
    <row r="73" spans="1:3" ht="15.75" x14ac:dyDescent="0.25">
      <c r="A73" s="33">
        <v>44119</v>
      </c>
      <c r="B73" s="48" t="s">
        <v>5</v>
      </c>
      <c r="C73" s="49">
        <v>75</v>
      </c>
    </row>
    <row r="74" spans="1:3" ht="15.75" x14ac:dyDescent="0.25">
      <c r="A74" s="33">
        <v>44119</v>
      </c>
      <c r="B74" s="48" t="s">
        <v>9</v>
      </c>
      <c r="C74" s="49">
        <v>480</v>
      </c>
    </row>
    <row r="75" spans="1:3" ht="15.75" x14ac:dyDescent="0.25">
      <c r="A75" s="33">
        <v>44124</v>
      </c>
      <c r="B75" s="48" t="s">
        <v>8</v>
      </c>
      <c r="C75" s="49">
        <v>130</v>
      </c>
    </row>
    <row r="76" spans="1:3" ht="15.75" x14ac:dyDescent="0.25">
      <c r="A76" s="33">
        <v>44124</v>
      </c>
      <c r="B76" s="48" t="s">
        <v>2</v>
      </c>
      <c r="C76" s="49">
        <v>200</v>
      </c>
    </row>
    <row r="77" spans="1:3" ht="15.75" x14ac:dyDescent="0.25">
      <c r="A77" s="33">
        <v>44136</v>
      </c>
      <c r="B77" s="48" t="s">
        <v>6</v>
      </c>
      <c r="C77" s="49">
        <v>1000.5</v>
      </c>
    </row>
    <row r="78" spans="1:3" ht="15.75" x14ac:dyDescent="0.25">
      <c r="A78" s="33">
        <v>44137</v>
      </c>
      <c r="B78" s="48" t="s">
        <v>5</v>
      </c>
      <c r="C78" s="49">
        <v>280.75</v>
      </c>
    </row>
    <row r="79" spans="1:3" ht="15.75" x14ac:dyDescent="0.25">
      <c r="A79" s="33">
        <v>44137</v>
      </c>
      <c r="B79" s="48" t="s">
        <v>3</v>
      </c>
      <c r="C79" s="49">
        <v>80.5</v>
      </c>
    </row>
    <row r="80" spans="1:3" ht="15.75" x14ac:dyDescent="0.25">
      <c r="A80" s="33">
        <v>44140</v>
      </c>
      <c r="B80" s="48" t="s">
        <v>0</v>
      </c>
      <c r="C80" s="49">
        <v>85</v>
      </c>
    </row>
    <row r="81" spans="1:3" ht="15.75" x14ac:dyDescent="0.25">
      <c r="A81" s="33">
        <v>44145</v>
      </c>
      <c r="B81" s="48" t="s">
        <v>7</v>
      </c>
      <c r="C81" s="49">
        <v>330</v>
      </c>
    </row>
    <row r="82" spans="1:3" ht="15.75" x14ac:dyDescent="0.25">
      <c r="A82" s="33">
        <v>44145</v>
      </c>
      <c r="B82" s="48" t="s">
        <v>4</v>
      </c>
      <c r="C82" s="49">
        <v>140.30000000000001</v>
      </c>
    </row>
    <row r="83" spans="1:3" ht="15.75" x14ac:dyDescent="0.25">
      <c r="A83" s="33">
        <v>44147</v>
      </c>
      <c r="B83" s="48" t="s">
        <v>2</v>
      </c>
      <c r="C83" s="49">
        <v>555</v>
      </c>
    </row>
    <row r="84" spans="1:3" ht="15.75" x14ac:dyDescent="0.25">
      <c r="A84" s="33">
        <v>44147</v>
      </c>
      <c r="B84" s="48" t="s">
        <v>2</v>
      </c>
      <c r="C84" s="49">
        <v>444</v>
      </c>
    </row>
    <row r="85" spans="1:3" ht="15.75" x14ac:dyDescent="0.25">
      <c r="A85" s="33">
        <v>44147</v>
      </c>
      <c r="B85" s="48" t="s">
        <v>2</v>
      </c>
      <c r="C85" s="49">
        <v>333</v>
      </c>
    </row>
    <row r="86" spans="1:3" ht="15.75" x14ac:dyDescent="0.25">
      <c r="A86" s="33">
        <v>44147</v>
      </c>
      <c r="B86" s="48" t="s">
        <v>6</v>
      </c>
      <c r="C86" s="49">
        <v>222</v>
      </c>
    </row>
    <row r="87" spans="1:3" ht="15.75" x14ac:dyDescent="0.25">
      <c r="A87" s="33">
        <v>44150</v>
      </c>
      <c r="B87" s="48" t="s">
        <v>1</v>
      </c>
      <c r="C87" s="49">
        <v>53.2</v>
      </c>
    </row>
    <row r="88" spans="1:3" ht="15.75" x14ac:dyDescent="0.25">
      <c r="A88" s="33">
        <v>44155</v>
      </c>
      <c r="B88" s="48" t="s">
        <v>6</v>
      </c>
      <c r="C88" s="49">
        <v>600</v>
      </c>
    </row>
    <row r="89" spans="1:3" ht="15.75" x14ac:dyDescent="0.25">
      <c r="A89" s="33">
        <v>44155</v>
      </c>
      <c r="B89" s="48" t="s">
        <v>1</v>
      </c>
      <c r="C89" s="49">
        <v>40</v>
      </c>
    </row>
    <row r="90" spans="1:3" ht="15.75" x14ac:dyDescent="0.25">
      <c r="A90" s="33">
        <v>44175</v>
      </c>
      <c r="B90" s="48" t="s">
        <v>7</v>
      </c>
      <c r="C90" s="49">
        <v>350</v>
      </c>
    </row>
    <row r="91" spans="1:3" ht="15.75" x14ac:dyDescent="0.25">
      <c r="A91" s="33">
        <v>44180</v>
      </c>
      <c r="B91" s="48" t="s">
        <v>1</v>
      </c>
      <c r="C91" s="49">
        <v>45.2</v>
      </c>
    </row>
    <row r="92" spans="1:3" ht="15.75" x14ac:dyDescent="0.25">
      <c r="A92" s="33">
        <v>44180</v>
      </c>
      <c r="B92" s="48" t="s">
        <v>9</v>
      </c>
      <c r="C92" s="49">
        <v>500</v>
      </c>
    </row>
    <row r="93" spans="1:3" ht="15.75" x14ac:dyDescent="0.25">
      <c r="A93" s="33">
        <v>44185</v>
      </c>
      <c r="B93" s="48" t="s">
        <v>2</v>
      </c>
      <c r="C93" s="49">
        <v>210</v>
      </c>
    </row>
    <row r="94" spans="1:3" ht="15.75" x14ac:dyDescent="0.25">
      <c r="A94" s="33">
        <v>44185</v>
      </c>
      <c r="B94" s="48" t="s">
        <v>8</v>
      </c>
      <c r="C94" s="49">
        <v>115</v>
      </c>
    </row>
    <row r="95" spans="1:3" ht="15.75" x14ac:dyDescent="0.25">
      <c r="A95" s="33">
        <v>44190</v>
      </c>
      <c r="B95" s="48" t="s">
        <v>0</v>
      </c>
      <c r="C95" s="49">
        <v>120</v>
      </c>
    </row>
    <row r="96" spans="1:3" ht="15.75" x14ac:dyDescent="0.25">
      <c r="A96" s="33">
        <v>44190</v>
      </c>
      <c r="B96" s="48" t="s">
        <v>2</v>
      </c>
      <c r="C96" s="49">
        <v>190</v>
      </c>
    </row>
    <row r="97" spans="1:3" ht="15.75" x14ac:dyDescent="0.25">
      <c r="A97" s="33">
        <v>44197</v>
      </c>
      <c r="B97" s="48" t="s">
        <v>5</v>
      </c>
      <c r="C97" s="49">
        <v>80</v>
      </c>
    </row>
    <row r="98" spans="1:3" ht="15.75" x14ac:dyDescent="0.25">
      <c r="A98" s="33">
        <v>44197</v>
      </c>
      <c r="B98" s="48" t="s">
        <v>3</v>
      </c>
      <c r="C98" s="49">
        <v>95</v>
      </c>
    </row>
    <row r="99" spans="1:3" ht="15.75" x14ac:dyDescent="0.25">
      <c r="A99" s="33">
        <v>44197</v>
      </c>
      <c r="B99" s="48" t="s">
        <v>6</v>
      </c>
      <c r="C99" s="49">
        <v>980.5</v>
      </c>
    </row>
    <row r="100" spans="1:3" ht="15.75" x14ac:dyDescent="0.25">
      <c r="A100" s="33">
        <v>44198</v>
      </c>
      <c r="B100" s="48" t="s">
        <v>3</v>
      </c>
      <c r="C100" s="49">
        <v>88.5</v>
      </c>
    </row>
    <row r="101" spans="1:3" ht="15.75" x14ac:dyDescent="0.25">
      <c r="A101" s="33">
        <v>44198</v>
      </c>
      <c r="B101" s="48" t="s">
        <v>5</v>
      </c>
      <c r="C101" s="49">
        <v>240.75</v>
      </c>
    </row>
    <row r="102" spans="1:3" ht="15.75" x14ac:dyDescent="0.25">
      <c r="A102" s="33">
        <v>44206</v>
      </c>
      <c r="B102" s="48" t="s">
        <v>4</v>
      </c>
      <c r="C102" s="49">
        <v>155.30000000000001</v>
      </c>
    </row>
    <row r="103" spans="1:3" ht="15.75" x14ac:dyDescent="0.25">
      <c r="A103" s="33">
        <v>44232</v>
      </c>
      <c r="B103" s="48" t="s">
        <v>1</v>
      </c>
      <c r="C103" s="49">
        <v>30</v>
      </c>
    </row>
    <row r="104" spans="1:3" ht="15.75" x14ac:dyDescent="0.25">
      <c r="A104" s="33">
        <v>44232</v>
      </c>
      <c r="B104" s="48" t="s">
        <v>4</v>
      </c>
      <c r="C104" s="49">
        <v>140</v>
      </c>
    </row>
    <row r="105" spans="1:3" ht="15.75" x14ac:dyDescent="0.25">
      <c r="A105" s="33">
        <v>44232</v>
      </c>
      <c r="B105" s="48" t="s">
        <v>0</v>
      </c>
      <c r="C105" s="49">
        <v>72</v>
      </c>
    </row>
    <row r="106" spans="1:3" ht="15.75" x14ac:dyDescent="0.25">
      <c r="A106" s="33">
        <v>44242</v>
      </c>
      <c r="B106" s="48" t="s">
        <v>9</v>
      </c>
      <c r="C106" s="49">
        <v>510</v>
      </c>
    </row>
    <row r="107" spans="1:3" ht="15.75" x14ac:dyDescent="0.25">
      <c r="A107" s="33">
        <v>44247</v>
      </c>
      <c r="B107" s="48" t="s">
        <v>8</v>
      </c>
      <c r="C107" s="49">
        <v>115</v>
      </c>
    </row>
    <row r="108" spans="1:3" ht="15.75" x14ac:dyDescent="0.25">
      <c r="A108" s="33">
        <v>44256</v>
      </c>
      <c r="B108" s="48" t="s">
        <v>6</v>
      </c>
      <c r="C108" s="49">
        <v>1250.5</v>
      </c>
    </row>
    <row r="109" spans="1:3" ht="15.75" x14ac:dyDescent="0.25">
      <c r="A109" s="33">
        <v>44257</v>
      </c>
      <c r="B109" s="48" t="s">
        <v>5</v>
      </c>
      <c r="C109" s="49">
        <v>230.75</v>
      </c>
    </row>
    <row r="110" spans="1:3" ht="15.75" x14ac:dyDescent="0.25">
      <c r="A110" s="33">
        <v>44260</v>
      </c>
      <c r="B110" s="48" t="s">
        <v>0</v>
      </c>
      <c r="C110" s="49">
        <v>75</v>
      </c>
    </row>
    <row r="111" spans="1:3" ht="15.75" x14ac:dyDescent="0.25">
      <c r="A111" s="33">
        <v>44265</v>
      </c>
      <c r="B111" s="48" t="s">
        <v>2</v>
      </c>
      <c r="C111" s="49">
        <v>200</v>
      </c>
    </row>
    <row r="112" spans="1:3" ht="15.75" x14ac:dyDescent="0.25">
      <c r="A112" s="33">
        <v>44265</v>
      </c>
      <c r="B112" s="48" t="s">
        <v>7</v>
      </c>
      <c r="C112" s="49">
        <v>330</v>
      </c>
    </row>
    <row r="113" spans="1:3" ht="15.75" x14ac:dyDescent="0.25">
      <c r="A113" s="33">
        <v>44265</v>
      </c>
      <c r="B113" s="48" t="s">
        <v>9</v>
      </c>
      <c r="C113" s="49">
        <v>280</v>
      </c>
    </row>
    <row r="114" spans="1:3" ht="15.75" x14ac:dyDescent="0.25">
      <c r="A114" s="33">
        <v>44270</v>
      </c>
      <c r="B114" s="48" t="s">
        <v>1</v>
      </c>
      <c r="C114" s="49">
        <v>60.2</v>
      </c>
    </row>
    <row r="115" spans="1:3" ht="15.75" x14ac:dyDescent="0.25">
      <c r="A115" s="33">
        <v>44296</v>
      </c>
      <c r="B115" s="48" t="s">
        <v>7</v>
      </c>
      <c r="C115" s="49">
        <v>340</v>
      </c>
    </row>
    <row r="116" spans="1:3" ht="15.75" x14ac:dyDescent="0.25">
      <c r="A116" s="33">
        <v>44301</v>
      </c>
      <c r="B116" s="48" t="s">
        <v>3</v>
      </c>
      <c r="C116" s="49">
        <v>90</v>
      </c>
    </row>
    <row r="117" spans="1:3" ht="15.75" x14ac:dyDescent="0.25">
      <c r="A117" s="33">
        <v>44301</v>
      </c>
      <c r="B117" s="48" t="s">
        <v>8</v>
      </c>
      <c r="C117" s="49">
        <v>190</v>
      </c>
    </row>
    <row r="118" spans="1:3" ht="15.75" x14ac:dyDescent="0.25">
      <c r="A118" s="33">
        <v>44301</v>
      </c>
      <c r="B118" s="48" t="s">
        <v>1</v>
      </c>
      <c r="C118" s="49">
        <v>52.2</v>
      </c>
    </row>
    <row r="119" spans="1:3" ht="15.75" x14ac:dyDescent="0.25">
      <c r="A119" s="33">
        <v>44305</v>
      </c>
      <c r="B119" s="48" t="s">
        <v>1</v>
      </c>
      <c r="C119" s="49">
        <v>451</v>
      </c>
    </row>
    <row r="120" spans="1:3" ht="15.75" x14ac:dyDescent="0.25">
      <c r="A120" s="33">
        <v>44306</v>
      </c>
      <c r="B120" s="48" t="s">
        <v>2</v>
      </c>
      <c r="C120" s="49">
        <v>190</v>
      </c>
    </row>
    <row r="121" spans="1:3" ht="15.75" x14ac:dyDescent="0.25">
      <c r="A121" s="33">
        <v>44318</v>
      </c>
      <c r="B121" s="48" t="s">
        <v>3</v>
      </c>
      <c r="C121" s="49">
        <v>85.5</v>
      </c>
    </row>
    <row r="122" spans="1:3" ht="15.75" x14ac:dyDescent="0.25">
      <c r="A122" s="33">
        <v>44326</v>
      </c>
      <c r="B122" s="48" t="s">
        <v>4</v>
      </c>
      <c r="C122" s="49">
        <v>150.30000000000001</v>
      </c>
    </row>
    <row r="123" spans="1:3" ht="15.75" x14ac:dyDescent="0.25">
      <c r="A123" s="33">
        <v>44336</v>
      </c>
      <c r="B123" s="48" t="s">
        <v>4</v>
      </c>
      <c r="C123" s="49">
        <v>150</v>
      </c>
    </row>
    <row r="124" spans="1:3" ht="15.75" x14ac:dyDescent="0.25">
      <c r="A124" s="33">
        <v>44336</v>
      </c>
      <c r="B124" s="48" t="s">
        <v>6</v>
      </c>
      <c r="C124" s="49">
        <v>520</v>
      </c>
    </row>
    <row r="125" spans="1:3" ht="15.75" x14ac:dyDescent="0.25">
      <c r="A125" s="33">
        <v>44336</v>
      </c>
      <c r="B125" s="48" t="s">
        <v>2</v>
      </c>
      <c r="C125" s="49">
        <v>200</v>
      </c>
    </row>
    <row r="126" spans="1:3" ht="15.75" x14ac:dyDescent="0.25">
      <c r="A126" s="33">
        <v>44349</v>
      </c>
      <c r="B126" s="48" t="s">
        <v>3</v>
      </c>
      <c r="C126" s="49">
        <v>80.5</v>
      </c>
    </row>
    <row r="127" spans="1:3" ht="15.75" x14ac:dyDescent="0.25">
      <c r="A127" s="33">
        <v>44357</v>
      </c>
      <c r="B127" s="48" t="s">
        <v>4</v>
      </c>
      <c r="C127" s="49">
        <v>150.30000000000001</v>
      </c>
    </row>
    <row r="128" spans="1:3" ht="15.75" x14ac:dyDescent="0.25">
      <c r="A128" s="33">
        <v>44362</v>
      </c>
      <c r="B128" s="48" t="s">
        <v>9</v>
      </c>
      <c r="C128" s="49">
        <v>510</v>
      </c>
    </row>
    <row r="129" spans="1:3" ht="15.75" x14ac:dyDescent="0.25">
      <c r="A129" s="33">
        <v>44367</v>
      </c>
      <c r="B129" s="48" t="s">
        <v>8</v>
      </c>
      <c r="C129" s="49">
        <v>120</v>
      </c>
    </row>
    <row r="130" spans="1:3" ht="15.75" x14ac:dyDescent="0.25">
      <c r="A130" s="33">
        <v>44372</v>
      </c>
      <c r="B130" s="48" t="s">
        <v>0</v>
      </c>
      <c r="C130" s="49">
        <v>110</v>
      </c>
    </row>
    <row r="131" spans="1:3" ht="15.75" x14ac:dyDescent="0.25">
      <c r="A131" s="33">
        <v>44372</v>
      </c>
      <c r="B131" s="48" t="s">
        <v>9</v>
      </c>
      <c r="C131" s="49">
        <v>300</v>
      </c>
    </row>
    <row r="132" spans="1:3" ht="15.75" x14ac:dyDescent="0.25">
      <c r="A132" s="33">
        <v>44378</v>
      </c>
      <c r="B132" s="48" t="s">
        <v>6</v>
      </c>
      <c r="C132" s="49">
        <v>1120.5</v>
      </c>
    </row>
    <row r="133" spans="1:3" ht="15.75" x14ac:dyDescent="0.25">
      <c r="A133" s="33">
        <v>44379</v>
      </c>
      <c r="B133" s="48" t="s">
        <v>5</v>
      </c>
      <c r="C133" s="49">
        <v>260.75</v>
      </c>
    </row>
    <row r="134" spans="1:3" ht="15.75" x14ac:dyDescent="0.25">
      <c r="A134" s="33">
        <v>44392</v>
      </c>
      <c r="B134" s="48" t="s">
        <v>9</v>
      </c>
      <c r="C134" s="49">
        <v>500</v>
      </c>
    </row>
    <row r="135" spans="1:3" ht="15.75" x14ac:dyDescent="0.25">
      <c r="A135" s="33">
        <v>44397</v>
      </c>
      <c r="B135" s="48" t="s">
        <v>8</v>
      </c>
      <c r="C135" s="49">
        <v>120</v>
      </c>
    </row>
    <row r="136" spans="1:3" ht="15.75" x14ac:dyDescent="0.25">
      <c r="A136" s="33">
        <v>44407</v>
      </c>
      <c r="B136" s="48" t="s">
        <v>8</v>
      </c>
      <c r="C136" s="49">
        <v>200</v>
      </c>
    </row>
    <row r="137" spans="1:3" ht="15.75" x14ac:dyDescent="0.25">
      <c r="A137" s="33">
        <v>44407</v>
      </c>
      <c r="B137" s="48" t="s">
        <v>5</v>
      </c>
      <c r="C137" s="49">
        <v>80</v>
      </c>
    </row>
    <row r="138" spans="1:3" ht="15.75" x14ac:dyDescent="0.25">
      <c r="A138" s="33">
        <v>44410</v>
      </c>
      <c r="B138" s="48" t="s">
        <v>5</v>
      </c>
      <c r="C138" s="49">
        <v>245.75</v>
      </c>
    </row>
    <row r="139" spans="1:3" ht="15.75" x14ac:dyDescent="0.25">
      <c r="A139" s="33">
        <v>44413</v>
      </c>
      <c r="B139" s="48" t="s">
        <v>6</v>
      </c>
      <c r="C139" s="49">
        <v>550</v>
      </c>
    </row>
    <row r="140" spans="1:3" ht="15.75" x14ac:dyDescent="0.25">
      <c r="A140" s="33">
        <v>44413</v>
      </c>
      <c r="B140" s="48" t="s">
        <v>1</v>
      </c>
      <c r="C140" s="49">
        <v>35</v>
      </c>
    </row>
    <row r="141" spans="1:3" ht="15.75" x14ac:dyDescent="0.25">
      <c r="A141" s="33">
        <v>44413</v>
      </c>
      <c r="B141" s="48" t="s">
        <v>0</v>
      </c>
      <c r="C141" s="49">
        <v>80</v>
      </c>
    </row>
    <row r="142" spans="1:3" ht="15.75" x14ac:dyDescent="0.25">
      <c r="A142" s="33">
        <v>44413</v>
      </c>
      <c r="B142" s="48" t="s">
        <v>0</v>
      </c>
      <c r="C142" s="49">
        <v>82</v>
      </c>
    </row>
    <row r="143" spans="1:3" ht="15.75" x14ac:dyDescent="0.25">
      <c r="A143" s="33">
        <v>44449</v>
      </c>
      <c r="B143" s="48" t="s">
        <v>0</v>
      </c>
      <c r="C143" s="49">
        <v>110</v>
      </c>
    </row>
    <row r="144" spans="1:3" ht="15.75" x14ac:dyDescent="0.25">
      <c r="A144" s="33">
        <v>44449</v>
      </c>
      <c r="B144" s="48" t="s">
        <v>2</v>
      </c>
      <c r="C144" s="49">
        <v>220</v>
      </c>
    </row>
    <row r="145" spans="1:6" ht="15.75" x14ac:dyDescent="0.25">
      <c r="A145" s="33">
        <v>44449</v>
      </c>
      <c r="B145" s="48" t="s">
        <v>7</v>
      </c>
      <c r="C145" s="49">
        <v>320</v>
      </c>
    </row>
    <row r="146" spans="1:6" ht="15.75" x14ac:dyDescent="0.25">
      <c r="A146" s="33">
        <v>44449</v>
      </c>
      <c r="B146" s="48" t="s">
        <v>7</v>
      </c>
      <c r="C146" s="49">
        <v>340</v>
      </c>
    </row>
    <row r="147" spans="1:6" ht="15.75" x14ac:dyDescent="0.25">
      <c r="A147" s="33">
        <v>44454</v>
      </c>
      <c r="B147" s="48" t="s">
        <v>1</v>
      </c>
      <c r="C147" s="49">
        <v>50.2</v>
      </c>
    </row>
    <row r="148" spans="1:6" ht="15.75" x14ac:dyDescent="0.25">
      <c r="A148" s="33">
        <v>44454</v>
      </c>
      <c r="B148" s="48" t="s">
        <v>1</v>
      </c>
      <c r="C148" s="49">
        <v>58.2</v>
      </c>
    </row>
    <row r="149" spans="1:6" ht="15.75" x14ac:dyDescent="0.25">
      <c r="A149" s="62">
        <v>44476</v>
      </c>
      <c r="B149" s="50" t="s">
        <v>7</v>
      </c>
      <c r="C149" s="61">
        <v>243</v>
      </c>
    </row>
    <row r="150" spans="1:6" ht="15.75" x14ac:dyDescent="0.25">
      <c r="A150" s="33">
        <v>44484</v>
      </c>
      <c r="B150" s="48" t="s">
        <v>5</v>
      </c>
      <c r="C150" s="49">
        <v>70</v>
      </c>
    </row>
    <row r="151" spans="1:6" ht="15.75" x14ac:dyDescent="0.25">
      <c r="A151" s="33">
        <v>44484</v>
      </c>
      <c r="B151" s="48" t="s">
        <v>3</v>
      </c>
      <c r="C151" s="49">
        <v>80</v>
      </c>
    </row>
    <row r="152" spans="1:6" ht="15.75" x14ac:dyDescent="0.25">
      <c r="A152" s="33">
        <v>44489</v>
      </c>
      <c r="B152" s="48" t="s">
        <v>2</v>
      </c>
      <c r="C152" s="49">
        <v>180</v>
      </c>
    </row>
    <row r="153" spans="1:6" ht="15.75" x14ac:dyDescent="0.25">
      <c r="A153" s="33">
        <v>44489</v>
      </c>
      <c r="B153" s="48" t="s">
        <v>2</v>
      </c>
      <c r="C153" s="49">
        <v>170</v>
      </c>
    </row>
    <row r="154" spans="1:6" ht="15.75" x14ac:dyDescent="0.25">
      <c r="A154" s="33">
        <v>44502</v>
      </c>
      <c r="B154" s="48" t="s">
        <v>3</v>
      </c>
      <c r="C154" s="49">
        <v>90.5</v>
      </c>
    </row>
    <row r="155" spans="1:6" ht="15.75" x14ac:dyDescent="0.25">
      <c r="A155" s="33">
        <v>44502</v>
      </c>
      <c r="B155" s="48" t="s">
        <v>3</v>
      </c>
      <c r="C155" s="49">
        <v>80.5</v>
      </c>
      <c r="F155" s="37"/>
    </row>
    <row r="156" spans="1:6" ht="15.75" x14ac:dyDescent="0.25">
      <c r="A156" s="33">
        <v>44510</v>
      </c>
      <c r="B156" s="48" t="s">
        <v>4</v>
      </c>
      <c r="C156" s="49">
        <v>160.30000000000001</v>
      </c>
    </row>
    <row r="157" spans="1:6" ht="15.75" x14ac:dyDescent="0.25">
      <c r="A157" s="33">
        <v>44510</v>
      </c>
      <c r="B157" s="48" t="s">
        <v>4</v>
      </c>
      <c r="C157" s="49">
        <v>155.30000000000001</v>
      </c>
    </row>
    <row r="158" spans="1:6" ht="15.75" x14ac:dyDescent="0.25">
      <c r="A158" s="33">
        <v>44512</v>
      </c>
      <c r="B158" s="48" t="s">
        <v>2</v>
      </c>
      <c r="C158" s="49">
        <v>111</v>
      </c>
    </row>
    <row r="159" spans="1:6" ht="15.75" x14ac:dyDescent="0.25">
      <c r="A159" s="33">
        <v>44520</v>
      </c>
      <c r="B159" s="48" t="s">
        <v>1</v>
      </c>
      <c r="C159" s="49">
        <v>40</v>
      </c>
    </row>
    <row r="160" spans="1:6" ht="15.75" x14ac:dyDescent="0.25">
      <c r="A160" s="33">
        <v>44520</v>
      </c>
      <c r="B160" s="48" t="s">
        <v>4</v>
      </c>
      <c r="C160" s="49">
        <v>100</v>
      </c>
    </row>
    <row r="161" spans="1:3" ht="15.75" x14ac:dyDescent="0.25">
      <c r="A161" s="33">
        <v>44545</v>
      </c>
      <c r="B161" s="48" t="s">
        <v>9</v>
      </c>
      <c r="C161" s="49">
        <v>530</v>
      </c>
    </row>
    <row r="162" spans="1:3" ht="15.75" x14ac:dyDescent="0.25">
      <c r="A162" s="33">
        <v>44545</v>
      </c>
      <c r="B162" s="48" t="s">
        <v>9</v>
      </c>
      <c r="C162" s="49">
        <v>540</v>
      </c>
    </row>
    <row r="163" spans="1:3" ht="15.75" x14ac:dyDescent="0.25">
      <c r="A163" s="33">
        <v>44550</v>
      </c>
      <c r="B163" s="48" t="s">
        <v>8</v>
      </c>
      <c r="C163" s="49">
        <v>130</v>
      </c>
    </row>
    <row r="164" spans="1:3" ht="15.75" x14ac:dyDescent="0.25">
      <c r="A164" s="33">
        <v>44550</v>
      </c>
      <c r="B164" s="48" t="s">
        <v>8</v>
      </c>
      <c r="C164" s="49">
        <v>125</v>
      </c>
    </row>
    <row r="165" spans="1:3" ht="15.75" x14ac:dyDescent="0.25">
      <c r="A165" s="33">
        <v>44555</v>
      </c>
      <c r="B165" s="48" t="s">
        <v>2</v>
      </c>
      <c r="C165" s="49">
        <v>180</v>
      </c>
    </row>
    <row r="166" spans="1:3" ht="15.75" x14ac:dyDescent="0.25">
      <c r="A166" s="33">
        <v>44555</v>
      </c>
      <c r="B166" s="48" t="s">
        <v>9</v>
      </c>
      <c r="C166" s="49">
        <v>260</v>
      </c>
    </row>
    <row r="167" spans="1:3" ht="15.75" x14ac:dyDescent="0.25">
      <c r="A167" s="33">
        <v>44562</v>
      </c>
      <c r="B167" s="48" t="s">
        <v>3</v>
      </c>
      <c r="C167" s="49">
        <v>100</v>
      </c>
    </row>
    <row r="168" spans="1:3" ht="15.75" x14ac:dyDescent="0.25">
      <c r="A168" s="33">
        <v>44562</v>
      </c>
      <c r="B168" s="48" t="s">
        <v>8</v>
      </c>
      <c r="C168" s="49">
        <v>210</v>
      </c>
    </row>
    <row r="169" spans="1:3" ht="15.75" x14ac:dyDescent="0.25">
      <c r="A169" s="33">
        <v>44562</v>
      </c>
      <c r="B169" s="48" t="s">
        <v>6</v>
      </c>
      <c r="C169" s="49">
        <v>1080.5</v>
      </c>
    </row>
    <row r="170" spans="1:3" ht="15.75" x14ac:dyDescent="0.25">
      <c r="A170" s="33">
        <v>44562</v>
      </c>
      <c r="B170" s="48" t="s">
        <v>6</v>
      </c>
      <c r="C170" s="49">
        <v>980.5</v>
      </c>
    </row>
    <row r="171" spans="1:3" ht="15.75" x14ac:dyDescent="0.25">
      <c r="A171" s="33">
        <v>44563</v>
      </c>
      <c r="B171" s="48" t="s">
        <v>5</v>
      </c>
      <c r="C171" s="49">
        <v>255.75</v>
      </c>
    </row>
    <row r="172" spans="1:3" ht="15.75" x14ac:dyDescent="0.25">
      <c r="A172" s="33">
        <v>44563</v>
      </c>
      <c r="B172" s="48" t="s">
        <v>5</v>
      </c>
      <c r="C172" s="49">
        <v>240.75</v>
      </c>
    </row>
    <row r="173" spans="1:3" ht="15.75" x14ac:dyDescent="0.25">
      <c r="A173" s="33">
        <v>44566</v>
      </c>
      <c r="B173" s="48" t="s">
        <v>0</v>
      </c>
      <c r="C173" s="49">
        <v>85</v>
      </c>
    </row>
    <row r="174" spans="1:3" ht="15.75" x14ac:dyDescent="0.25">
      <c r="A174" s="33">
        <v>44573</v>
      </c>
      <c r="B174" s="48" t="s">
        <v>5</v>
      </c>
      <c r="C174" s="49">
        <v>124</v>
      </c>
    </row>
    <row r="175" spans="1:3" ht="15.75" x14ac:dyDescent="0.25">
      <c r="A175" s="33">
        <v>44597</v>
      </c>
      <c r="B175" s="48" t="s">
        <v>4</v>
      </c>
      <c r="C175" s="49">
        <v>130</v>
      </c>
    </row>
    <row r="176" spans="1:3" ht="15.75" x14ac:dyDescent="0.25">
      <c r="A176" s="33">
        <v>44597</v>
      </c>
      <c r="B176" s="48" t="s">
        <v>6</v>
      </c>
      <c r="C176" s="49">
        <v>480</v>
      </c>
    </row>
    <row r="177" spans="1:3" ht="15.75" x14ac:dyDescent="0.25">
      <c r="A177" s="33">
        <v>44597</v>
      </c>
      <c r="B177" s="48" t="s">
        <v>0</v>
      </c>
      <c r="C177" s="49">
        <v>72</v>
      </c>
    </row>
    <row r="178" spans="1:3" ht="15.75" x14ac:dyDescent="0.25">
      <c r="A178" s="33">
        <v>44602</v>
      </c>
      <c r="B178" s="48" t="s">
        <v>7</v>
      </c>
      <c r="C178" s="49">
        <v>300</v>
      </c>
    </row>
    <row r="179" spans="1:3" ht="15.75" x14ac:dyDescent="0.25">
      <c r="A179" s="33">
        <v>44607</v>
      </c>
      <c r="B179" s="48" t="s">
        <v>1</v>
      </c>
      <c r="C179" s="49">
        <v>60.2</v>
      </c>
    </row>
    <row r="180" spans="1:3" ht="15.75" x14ac:dyDescent="0.25">
      <c r="A180" s="33">
        <v>44630</v>
      </c>
      <c r="B180" s="48" t="s">
        <v>0</v>
      </c>
      <c r="C180" s="49">
        <v>95</v>
      </c>
    </row>
    <row r="181" spans="1:3" ht="15.75" x14ac:dyDescent="0.25">
      <c r="A181" s="33">
        <v>44630</v>
      </c>
      <c r="B181" s="48" t="s">
        <v>7</v>
      </c>
      <c r="C181" s="49">
        <v>330</v>
      </c>
    </row>
    <row r="182" spans="1:3" ht="15.75" x14ac:dyDescent="0.25">
      <c r="A182" s="33">
        <v>44630</v>
      </c>
      <c r="B182" s="48" t="s">
        <v>9</v>
      </c>
      <c r="C182" s="49">
        <v>280</v>
      </c>
    </row>
    <row r="183" spans="1:3" ht="15.75" x14ac:dyDescent="0.25">
      <c r="A183" s="33">
        <v>44635</v>
      </c>
      <c r="B183" s="48" t="s">
        <v>1</v>
      </c>
      <c r="C183" s="49">
        <v>60.2</v>
      </c>
    </row>
    <row r="184" spans="1:3" ht="15.75" x14ac:dyDescent="0.25">
      <c r="A184" s="33">
        <v>44640</v>
      </c>
      <c r="B184" s="48" t="s">
        <v>2</v>
      </c>
      <c r="C184" s="49">
        <v>200</v>
      </c>
    </row>
    <row r="185" spans="1:3" ht="15.75" x14ac:dyDescent="0.25">
      <c r="A185" s="33">
        <v>44653</v>
      </c>
      <c r="B185" s="48" t="s">
        <v>3</v>
      </c>
      <c r="C185" s="49">
        <v>95.5</v>
      </c>
    </row>
    <row r="186" spans="1:3" ht="15.75" x14ac:dyDescent="0.25">
      <c r="A186" s="33">
        <v>44661</v>
      </c>
      <c r="B186" s="48" t="s">
        <v>4</v>
      </c>
      <c r="C186" s="49">
        <v>140.30000000000001</v>
      </c>
    </row>
    <row r="187" spans="1:3" ht="15.75" x14ac:dyDescent="0.25">
      <c r="A187" s="33">
        <v>44666</v>
      </c>
      <c r="B187" s="48" t="s">
        <v>8</v>
      </c>
      <c r="C187" s="49">
        <v>190</v>
      </c>
    </row>
    <row r="188" spans="1:3" ht="15.75" x14ac:dyDescent="0.25">
      <c r="A188" s="33">
        <v>44666</v>
      </c>
      <c r="B188" s="48" t="s">
        <v>5</v>
      </c>
      <c r="C188" s="49">
        <v>65</v>
      </c>
    </row>
    <row r="189" spans="1:3" ht="15.75" x14ac:dyDescent="0.25">
      <c r="A189" s="33">
        <v>44671</v>
      </c>
      <c r="B189" s="48" t="s">
        <v>2</v>
      </c>
      <c r="C189" s="49">
        <v>190</v>
      </c>
    </row>
    <row r="190" spans="1:3" ht="15.75" x14ac:dyDescent="0.25">
      <c r="A190" s="33">
        <v>44683</v>
      </c>
      <c r="B190" s="48" t="s">
        <v>3</v>
      </c>
      <c r="C190" s="49">
        <v>85.5</v>
      </c>
    </row>
    <row r="191" spans="1:3" ht="15.75" x14ac:dyDescent="0.25">
      <c r="A191" s="33">
        <v>44691</v>
      </c>
      <c r="B191" s="48" t="s">
        <v>4</v>
      </c>
      <c r="C191" s="49">
        <v>150.30000000000001</v>
      </c>
    </row>
    <row r="192" spans="1:3" ht="15.75" x14ac:dyDescent="0.25">
      <c r="A192" s="33">
        <v>44696</v>
      </c>
      <c r="B192" s="48" t="s">
        <v>9</v>
      </c>
      <c r="C192" s="49">
        <v>520</v>
      </c>
    </row>
    <row r="193" spans="1:3" ht="15.75" x14ac:dyDescent="0.25">
      <c r="A193" s="33">
        <v>44701</v>
      </c>
      <c r="B193" s="48" t="s">
        <v>6</v>
      </c>
      <c r="C193" s="49">
        <v>520</v>
      </c>
    </row>
    <row r="194" spans="1:3" ht="15.75" x14ac:dyDescent="0.25">
      <c r="A194" s="33">
        <v>44701</v>
      </c>
      <c r="B194" s="48" t="s">
        <v>1</v>
      </c>
      <c r="C194" s="49">
        <v>30</v>
      </c>
    </row>
    <row r="195" spans="1:3" ht="15.75" x14ac:dyDescent="0.25">
      <c r="A195" s="33">
        <v>44701</v>
      </c>
      <c r="B195" s="48" t="s">
        <v>8</v>
      </c>
      <c r="C195" s="49">
        <v>110</v>
      </c>
    </row>
    <row r="196" spans="1:3" ht="15.75" x14ac:dyDescent="0.25">
      <c r="A196" s="33">
        <v>44713</v>
      </c>
      <c r="B196" s="48" t="s">
        <v>6</v>
      </c>
      <c r="C196" s="49">
        <v>1000.5</v>
      </c>
    </row>
    <row r="197" spans="1:3" ht="15.75" x14ac:dyDescent="0.25">
      <c r="A197" s="33">
        <v>44714</v>
      </c>
      <c r="B197" s="48" t="s">
        <v>5</v>
      </c>
      <c r="C197" s="49">
        <v>270.75</v>
      </c>
    </row>
    <row r="198" spans="1:3" ht="15.75" x14ac:dyDescent="0.25">
      <c r="A198" s="33">
        <v>44717</v>
      </c>
      <c r="B198" s="48" t="s">
        <v>0</v>
      </c>
      <c r="C198" s="49">
        <v>70</v>
      </c>
    </row>
    <row r="199" spans="1:3" ht="15.75" x14ac:dyDescent="0.25">
      <c r="A199" s="33">
        <v>44727</v>
      </c>
      <c r="B199" s="48" t="s">
        <v>9</v>
      </c>
      <c r="C199" s="49">
        <v>510</v>
      </c>
    </row>
    <row r="200" spans="1:3" ht="15.75" x14ac:dyDescent="0.25">
      <c r="A200" s="33">
        <v>44732</v>
      </c>
      <c r="B200" s="48" t="s">
        <v>8</v>
      </c>
      <c r="C200" s="49">
        <v>120</v>
      </c>
    </row>
    <row r="201" spans="1:3" ht="15.75" x14ac:dyDescent="0.25">
      <c r="A201" s="33">
        <v>44737</v>
      </c>
      <c r="B201" s="48" t="s">
        <v>0</v>
      </c>
      <c r="C201" s="49">
        <v>100</v>
      </c>
    </row>
    <row r="202" spans="1:3" ht="15.75" x14ac:dyDescent="0.25">
      <c r="A202" s="33">
        <v>44737</v>
      </c>
      <c r="B202" s="48" t="s">
        <v>2</v>
      </c>
      <c r="C202" s="49">
        <v>180</v>
      </c>
    </row>
    <row r="203" spans="1:3" ht="15.75" x14ac:dyDescent="0.25">
      <c r="A203" s="33">
        <v>44743</v>
      </c>
      <c r="B203" s="48" t="s">
        <v>6</v>
      </c>
      <c r="C203" s="49">
        <v>1120.5</v>
      </c>
    </row>
    <row r="204" spans="1:3" ht="15.75" x14ac:dyDescent="0.25">
      <c r="A204" s="33">
        <v>44744</v>
      </c>
      <c r="B204" s="48" t="s">
        <v>5</v>
      </c>
      <c r="C204" s="49">
        <v>260.75</v>
      </c>
    </row>
    <row r="205" spans="1:3" ht="15.75" x14ac:dyDescent="0.25">
      <c r="A205" s="33">
        <v>44752</v>
      </c>
      <c r="B205" s="48" t="s">
        <v>7</v>
      </c>
      <c r="C205" s="49">
        <v>350</v>
      </c>
    </row>
    <row r="206" spans="1:3" ht="15.75" x14ac:dyDescent="0.25">
      <c r="A206" s="33">
        <v>44757</v>
      </c>
      <c r="B206" s="48" t="s">
        <v>1</v>
      </c>
      <c r="C206" s="49">
        <v>48.2</v>
      </c>
    </row>
    <row r="207" spans="1:3" ht="15.75" x14ac:dyDescent="0.25">
      <c r="A207" s="33">
        <v>44772</v>
      </c>
      <c r="B207" s="48" t="s">
        <v>5</v>
      </c>
      <c r="C207" s="49">
        <v>90</v>
      </c>
    </row>
    <row r="208" spans="1:3" ht="15.75" x14ac:dyDescent="0.25">
      <c r="A208" s="33">
        <v>44772</v>
      </c>
      <c r="B208" s="48" t="s">
        <v>3</v>
      </c>
      <c r="C208" s="49">
        <v>105</v>
      </c>
    </row>
    <row r="209" spans="1:3" ht="15.75" x14ac:dyDescent="0.25">
      <c r="A209" s="33">
        <v>44778</v>
      </c>
      <c r="B209" s="48" t="s">
        <v>1</v>
      </c>
      <c r="C209" s="49">
        <v>35</v>
      </c>
    </row>
    <row r="210" spans="1:3" ht="15.75" x14ac:dyDescent="0.25">
      <c r="A210" s="33">
        <v>44778</v>
      </c>
      <c r="B210" s="48" t="s">
        <v>4</v>
      </c>
      <c r="C210" s="49">
        <v>130</v>
      </c>
    </row>
    <row r="211" spans="1:3" ht="15.75" x14ac:dyDescent="0.25">
      <c r="A211" s="33">
        <v>44778</v>
      </c>
      <c r="B211" s="48" t="s">
        <v>0</v>
      </c>
      <c r="C211" s="49">
        <v>82</v>
      </c>
    </row>
    <row r="212" spans="1:3" ht="15.75" x14ac:dyDescent="0.25">
      <c r="A212" s="33">
        <v>44793</v>
      </c>
      <c r="B212" s="48" t="s">
        <v>2</v>
      </c>
      <c r="C212" s="49">
        <v>220</v>
      </c>
    </row>
    <row r="213" spans="1:3" ht="15.75" x14ac:dyDescent="0.25">
      <c r="A213" s="33">
        <v>44806</v>
      </c>
      <c r="B213" s="48" t="s">
        <v>3</v>
      </c>
      <c r="C213" s="49">
        <v>75.5</v>
      </c>
    </row>
    <row r="214" spans="1:3" ht="15.75" x14ac:dyDescent="0.25">
      <c r="A214" s="33">
        <v>44814</v>
      </c>
      <c r="B214" s="48" t="s">
        <v>2</v>
      </c>
      <c r="C214" s="49">
        <v>220</v>
      </c>
    </row>
    <row r="215" spans="1:3" ht="15.75" x14ac:dyDescent="0.25">
      <c r="A215" s="33">
        <v>44814</v>
      </c>
      <c r="B215" s="48" t="s">
        <v>4</v>
      </c>
      <c r="C215" s="49">
        <v>165.3</v>
      </c>
    </row>
    <row r="216" spans="1:3" ht="15.75" x14ac:dyDescent="0.25">
      <c r="A216" s="33">
        <v>44814</v>
      </c>
      <c r="B216" s="48" t="s">
        <v>7</v>
      </c>
      <c r="C216" s="49">
        <v>340</v>
      </c>
    </row>
    <row r="217" spans="1:3" ht="15.75" x14ac:dyDescent="0.25">
      <c r="A217" s="33">
        <v>44814</v>
      </c>
      <c r="B217" s="48" t="s">
        <v>9</v>
      </c>
      <c r="C217" s="49">
        <v>240</v>
      </c>
    </row>
    <row r="218" spans="1:3" ht="15.75" x14ac:dyDescent="0.25">
      <c r="A218" s="33">
        <v>44819</v>
      </c>
      <c r="B218" s="48" t="s">
        <v>1</v>
      </c>
      <c r="C218" s="49">
        <v>58.2</v>
      </c>
    </row>
    <row r="219" spans="1:3" ht="15.75" x14ac:dyDescent="0.25">
      <c r="A219" s="33">
        <v>44849</v>
      </c>
      <c r="B219" s="48" t="s">
        <v>3</v>
      </c>
      <c r="C219" s="49">
        <v>85</v>
      </c>
    </row>
    <row r="220" spans="1:3" ht="15.75" x14ac:dyDescent="0.25">
      <c r="A220" s="33">
        <v>44849</v>
      </c>
      <c r="B220" s="48" t="s">
        <v>8</v>
      </c>
      <c r="C220" s="49">
        <v>160</v>
      </c>
    </row>
    <row r="221" spans="1:3" ht="15.75" x14ac:dyDescent="0.25">
      <c r="A221" s="33">
        <v>44849</v>
      </c>
      <c r="B221" s="48" t="s">
        <v>9</v>
      </c>
      <c r="C221" s="49">
        <v>540</v>
      </c>
    </row>
    <row r="222" spans="1:3" ht="15.75" x14ac:dyDescent="0.25">
      <c r="A222" s="33">
        <v>44854</v>
      </c>
      <c r="B222" s="48" t="s">
        <v>8</v>
      </c>
      <c r="C222" s="49">
        <v>140</v>
      </c>
    </row>
    <row r="223" spans="1:3" ht="15.75" x14ac:dyDescent="0.25">
      <c r="A223" s="33">
        <v>44854</v>
      </c>
      <c r="B223" s="48" t="s">
        <v>2</v>
      </c>
      <c r="C223" s="49">
        <v>170</v>
      </c>
    </row>
    <row r="224" spans="1:3" ht="15.75" x14ac:dyDescent="0.25">
      <c r="A224" s="33">
        <v>44866</v>
      </c>
      <c r="B224" s="48" t="s">
        <v>6</v>
      </c>
      <c r="C224" s="49">
        <v>1050.5</v>
      </c>
    </row>
    <row r="225" spans="1:3" ht="15.75" x14ac:dyDescent="0.25">
      <c r="A225" s="33">
        <v>44867</v>
      </c>
      <c r="B225" s="48" t="s">
        <v>5</v>
      </c>
      <c r="C225" s="49">
        <v>230.75</v>
      </c>
    </row>
    <row r="226" spans="1:3" ht="15.75" x14ac:dyDescent="0.25">
      <c r="A226" s="33">
        <v>44867</v>
      </c>
      <c r="B226" s="48" t="s">
        <v>3</v>
      </c>
      <c r="C226" s="49">
        <v>80.5</v>
      </c>
    </row>
    <row r="227" spans="1:3" ht="15.75" x14ac:dyDescent="0.25">
      <c r="A227" s="33">
        <v>44870</v>
      </c>
      <c r="B227" s="48" t="s">
        <v>0</v>
      </c>
      <c r="C227" s="49">
        <v>75</v>
      </c>
    </row>
    <row r="228" spans="1:3" ht="15.75" x14ac:dyDescent="0.25">
      <c r="A228" s="33">
        <v>44875</v>
      </c>
      <c r="B228" s="48" t="s">
        <v>4</v>
      </c>
      <c r="C228" s="49">
        <v>155.30000000000001</v>
      </c>
    </row>
    <row r="229" spans="1:3" ht="15.75" x14ac:dyDescent="0.25">
      <c r="A229" s="33">
        <v>44877</v>
      </c>
      <c r="B229" s="48" t="s">
        <v>4</v>
      </c>
      <c r="C229" s="49">
        <v>451</v>
      </c>
    </row>
    <row r="230" spans="1:3" ht="15.75" x14ac:dyDescent="0.25">
      <c r="A230" s="33">
        <v>44877</v>
      </c>
      <c r="B230" s="48" t="s">
        <v>9</v>
      </c>
      <c r="C230" s="49">
        <v>154</v>
      </c>
    </row>
    <row r="231" spans="1:3" ht="15.75" x14ac:dyDescent="0.25">
      <c r="A231" s="33">
        <v>44885</v>
      </c>
      <c r="B231" s="48" t="s">
        <v>4</v>
      </c>
      <c r="C231" s="49">
        <v>110</v>
      </c>
    </row>
    <row r="232" spans="1:3" ht="15.75" x14ac:dyDescent="0.25">
      <c r="A232" s="33">
        <v>44885</v>
      </c>
      <c r="B232" s="48" t="s">
        <v>6</v>
      </c>
      <c r="C232" s="49">
        <v>580</v>
      </c>
    </row>
    <row r="233" spans="1:3" ht="15.75" x14ac:dyDescent="0.25">
      <c r="A233" s="33">
        <v>44905</v>
      </c>
      <c r="B233" s="48" t="s">
        <v>7</v>
      </c>
      <c r="C233" s="49">
        <v>310</v>
      </c>
    </row>
    <row r="234" spans="1:3" ht="15.75" x14ac:dyDescent="0.25">
      <c r="A234" s="33">
        <v>44910</v>
      </c>
      <c r="B234" s="48" t="s">
        <v>1</v>
      </c>
      <c r="C234" s="49">
        <v>55.2</v>
      </c>
    </row>
    <row r="235" spans="1:3" ht="15.75" x14ac:dyDescent="0.25">
      <c r="A235" s="33">
        <v>44910</v>
      </c>
      <c r="B235" s="48" t="s">
        <v>9</v>
      </c>
      <c r="C235" s="49">
        <v>540</v>
      </c>
    </row>
    <row r="236" spans="1:3" ht="15.75" x14ac:dyDescent="0.25">
      <c r="A236" s="33">
        <v>44915</v>
      </c>
      <c r="B236" s="48" t="s">
        <v>8</v>
      </c>
      <c r="C236" s="49">
        <v>125</v>
      </c>
    </row>
    <row r="237" spans="1:3" ht="15.75" x14ac:dyDescent="0.25">
      <c r="A237" s="33">
        <v>44920</v>
      </c>
      <c r="B237" s="48" t="s">
        <v>0</v>
      </c>
      <c r="C237" s="49">
        <v>130</v>
      </c>
    </row>
    <row r="238" spans="1:3" ht="15.75" x14ac:dyDescent="0.25">
      <c r="A238" s="33">
        <v>44920</v>
      </c>
      <c r="B238" s="48" t="s">
        <v>9</v>
      </c>
      <c r="C238" s="49">
        <v>260</v>
      </c>
    </row>
    <row r="239" spans="1:3" ht="15.75" x14ac:dyDescent="0.25">
      <c r="A239" s="33">
        <v>44927</v>
      </c>
      <c r="B239" s="34" t="s">
        <v>7</v>
      </c>
      <c r="C239" s="49">
        <v>23</v>
      </c>
    </row>
    <row r="240" spans="1:3" ht="15.75" x14ac:dyDescent="0.25">
      <c r="A240" s="33">
        <v>44927</v>
      </c>
      <c r="B240" s="34" t="s">
        <v>8</v>
      </c>
      <c r="C240" s="49">
        <v>210</v>
      </c>
    </row>
    <row r="241" spans="1:5" ht="15.75" x14ac:dyDescent="0.25">
      <c r="A241" s="33">
        <v>44927</v>
      </c>
      <c r="B241" s="34" t="s">
        <v>5</v>
      </c>
      <c r="C241" s="49">
        <v>90</v>
      </c>
    </row>
    <row r="242" spans="1:5" ht="15.75" x14ac:dyDescent="0.25">
      <c r="A242" s="33">
        <v>44927</v>
      </c>
      <c r="B242" s="34" t="s">
        <v>3</v>
      </c>
      <c r="C242" s="49">
        <v>80</v>
      </c>
    </row>
    <row r="243" spans="1:5" ht="15.75" x14ac:dyDescent="0.25">
      <c r="A243" s="33">
        <v>44927</v>
      </c>
      <c r="B243" s="34" t="s">
        <v>4</v>
      </c>
      <c r="C243" s="49">
        <v>120</v>
      </c>
    </row>
    <row r="244" spans="1:5" ht="15.75" x14ac:dyDescent="0.25">
      <c r="A244" s="33">
        <v>44927</v>
      </c>
      <c r="B244" s="34" t="s">
        <v>8</v>
      </c>
      <c r="C244" s="49">
        <v>180</v>
      </c>
    </row>
    <row r="245" spans="1:5" ht="15.75" x14ac:dyDescent="0.25">
      <c r="A245" s="33">
        <v>44927</v>
      </c>
      <c r="B245" s="34" t="s">
        <v>7</v>
      </c>
      <c r="C245" s="49">
        <v>150</v>
      </c>
    </row>
    <row r="246" spans="1:5" ht="15.75" x14ac:dyDescent="0.25">
      <c r="A246" s="33">
        <v>44927</v>
      </c>
      <c r="B246" s="34" t="s">
        <v>1</v>
      </c>
      <c r="C246" s="49">
        <v>50</v>
      </c>
    </row>
    <row r="247" spans="1:5" ht="15.75" x14ac:dyDescent="0.25">
      <c r="A247" s="33">
        <v>44927</v>
      </c>
      <c r="B247" s="34" t="s">
        <v>2</v>
      </c>
      <c r="C247" s="49">
        <v>300</v>
      </c>
    </row>
    <row r="248" spans="1:5" ht="15.75" x14ac:dyDescent="0.25">
      <c r="A248" s="33">
        <v>44927</v>
      </c>
      <c r="B248" s="34" t="s">
        <v>5</v>
      </c>
      <c r="C248" s="49">
        <v>120</v>
      </c>
    </row>
    <row r="249" spans="1:5" ht="15.75" x14ac:dyDescent="0.25">
      <c r="A249" s="33">
        <v>44927</v>
      </c>
      <c r="B249" s="34" t="s">
        <v>0</v>
      </c>
      <c r="C249" s="49">
        <v>200</v>
      </c>
    </row>
    <row r="250" spans="1:5" ht="15.75" x14ac:dyDescent="0.25">
      <c r="A250" s="33">
        <v>44927</v>
      </c>
      <c r="B250" s="34" t="s">
        <v>6</v>
      </c>
      <c r="C250" s="49">
        <v>500</v>
      </c>
    </row>
    <row r="251" spans="1:5" ht="15.75" x14ac:dyDescent="0.25">
      <c r="A251" s="33">
        <v>44927</v>
      </c>
      <c r="B251" s="34" t="s">
        <v>9</v>
      </c>
      <c r="C251" s="49">
        <v>250</v>
      </c>
    </row>
    <row r="252" spans="1:5" ht="15.75" x14ac:dyDescent="0.25">
      <c r="A252" s="33">
        <v>44927</v>
      </c>
      <c r="B252" s="48" t="s">
        <v>6</v>
      </c>
      <c r="C252" s="49">
        <v>980.5</v>
      </c>
    </row>
    <row r="253" spans="1:5" ht="15.75" x14ac:dyDescent="0.25">
      <c r="A253" s="33">
        <v>44928</v>
      </c>
      <c r="B253" s="48" t="s">
        <v>5</v>
      </c>
      <c r="C253" s="49">
        <v>240.75</v>
      </c>
    </row>
    <row r="254" spans="1:5" ht="15.75" x14ac:dyDescent="0.25">
      <c r="A254" s="33">
        <v>44930</v>
      </c>
      <c r="B254" s="34" t="s">
        <v>6</v>
      </c>
      <c r="C254" s="49">
        <v>14</v>
      </c>
    </row>
    <row r="255" spans="1:5" ht="15.75" x14ac:dyDescent="0.25">
      <c r="A255" s="33">
        <v>44941</v>
      </c>
      <c r="B255" s="34" t="s">
        <v>4</v>
      </c>
      <c r="C255" s="49">
        <v>125</v>
      </c>
    </row>
    <row r="256" spans="1:5" ht="15.75" x14ac:dyDescent="0.25">
      <c r="A256" s="33">
        <v>44941</v>
      </c>
      <c r="B256" s="34" t="s">
        <v>1</v>
      </c>
      <c r="C256" s="49">
        <v>55</v>
      </c>
      <c r="E256" s="63"/>
    </row>
    <row r="257" spans="1:6" ht="15.75" x14ac:dyDescent="0.25">
      <c r="A257" s="33">
        <v>44941</v>
      </c>
      <c r="B257" s="34" t="s">
        <v>5</v>
      </c>
      <c r="C257" s="49">
        <v>110</v>
      </c>
      <c r="E257" s="63"/>
      <c r="F257" s="65"/>
    </row>
    <row r="258" spans="1:6" ht="15.75" x14ac:dyDescent="0.25">
      <c r="A258" s="33">
        <v>44946</v>
      </c>
      <c r="B258" s="48" t="s">
        <v>2</v>
      </c>
      <c r="C258" s="49">
        <v>190</v>
      </c>
    </row>
    <row r="259" spans="1:6" ht="15.75" x14ac:dyDescent="0.25">
      <c r="A259" s="33">
        <v>44946</v>
      </c>
      <c r="B259" s="34" t="s">
        <v>6</v>
      </c>
      <c r="C259" s="49">
        <v>560</v>
      </c>
    </row>
    <row r="260" spans="1:6" ht="15.75" x14ac:dyDescent="0.25">
      <c r="A260" s="33">
        <v>44957</v>
      </c>
      <c r="B260" s="34" t="s">
        <v>5</v>
      </c>
      <c r="C260" s="49">
        <v>12</v>
      </c>
    </row>
    <row r="261" spans="1:6" ht="15.75" x14ac:dyDescent="0.25">
      <c r="A261" s="33">
        <v>44959</v>
      </c>
      <c r="B261" s="48" t="s">
        <v>3</v>
      </c>
      <c r="C261" s="49">
        <v>85.5</v>
      </c>
    </row>
    <row r="262" spans="1:6" ht="15.75" x14ac:dyDescent="0.25">
      <c r="A262" s="33">
        <v>44962</v>
      </c>
      <c r="B262" s="34" t="s">
        <v>1</v>
      </c>
      <c r="C262" s="49">
        <v>40</v>
      </c>
    </row>
    <row r="263" spans="1:6" ht="15.75" x14ac:dyDescent="0.25">
      <c r="A263" s="33">
        <v>44962</v>
      </c>
      <c r="B263" s="34" t="s">
        <v>3</v>
      </c>
      <c r="C263" s="49">
        <v>70</v>
      </c>
    </row>
    <row r="264" spans="1:6" ht="15.75" x14ac:dyDescent="0.25">
      <c r="A264" s="33">
        <v>44962</v>
      </c>
      <c r="B264" s="34" t="s">
        <v>4</v>
      </c>
      <c r="C264" s="49">
        <v>110</v>
      </c>
    </row>
    <row r="265" spans="1:6" ht="15.75" x14ac:dyDescent="0.25">
      <c r="A265" s="33">
        <v>44962</v>
      </c>
      <c r="B265" s="34" t="s">
        <v>8</v>
      </c>
      <c r="C265" s="49">
        <v>160</v>
      </c>
    </row>
    <row r="266" spans="1:6" ht="15.75" x14ac:dyDescent="0.25">
      <c r="A266" s="33">
        <v>44962</v>
      </c>
      <c r="B266" s="34" t="s">
        <v>7</v>
      </c>
      <c r="C266" s="49">
        <v>130</v>
      </c>
    </row>
    <row r="267" spans="1:6" ht="15.75" x14ac:dyDescent="0.25">
      <c r="A267" s="33">
        <v>44962</v>
      </c>
      <c r="B267" s="34" t="s">
        <v>1</v>
      </c>
      <c r="C267" s="49">
        <v>40</v>
      </c>
    </row>
    <row r="268" spans="1:6" ht="15.75" x14ac:dyDescent="0.25">
      <c r="A268" s="33">
        <v>44962</v>
      </c>
      <c r="B268" s="34" t="s">
        <v>2</v>
      </c>
      <c r="C268" s="49">
        <v>280</v>
      </c>
    </row>
    <row r="269" spans="1:6" ht="15.75" x14ac:dyDescent="0.25">
      <c r="A269" s="33">
        <v>44962</v>
      </c>
      <c r="B269" s="34" t="s">
        <v>6</v>
      </c>
      <c r="C269" s="49">
        <v>480</v>
      </c>
    </row>
    <row r="270" spans="1:6" ht="15.75" x14ac:dyDescent="0.25">
      <c r="A270" s="33">
        <v>44962</v>
      </c>
      <c r="B270" s="34" t="s">
        <v>5</v>
      </c>
      <c r="C270" s="49">
        <v>100</v>
      </c>
    </row>
    <row r="271" spans="1:6" ht="15.75" x14ac:dyDescent="0.25">
      <c r="A271" s="33">
        <v>44962</v>
      </c>
      <c r="B271" s="34" t="s">
        <v>0</v>
      </c>
      <c r="C271" s="49">
        <v>180</v>
      </c>
    </row>
    <row r="272" spans="1:6" ht="15.75" x14ac:dyDescent="0.25">
      <c r="A272" s="33">
        <v>44962</v>
      </c>
      <c r="B272" s="48" t="s">
        <v>0</v>
      </c>
      <c r="C272" s="49">
        <v>72</v>
      </c>
    </row>
    <row r="273" spans="1:3" ht="15.75" x14ac:dyDescent="0.25">
      <c r="A273" s="33">
        <v>44962</v>
      </c>
      <c r="B273" s="34" t="s">
        <v>6</v>
      </c>
      <c r="C273" s="49">
        <v>450</v>
      </c>
    </row>
    <row r="274" spans="1:3" ht="15.75" x14ac:dyDescent="0.25">
      <c r="A274" s="33">
        <v>44962</v>
      </c>
      <c r="B274" s="34" t="s">
        <v>9</v>
      </c>
      <c r="C274" s="49">
        <v>230</v>
      </c>
    </row>
    <row r="275" spans="1:3" ht="15.75" x14ac:dyDescent="0.25">
      <c r="A275" s="33">
        <v>44967</v>
      </c>
      <c r="B275" s="48" t="s">
        <v>4</v>
      </c>
      <c r="C275" s="49">
        <v>150.30000000000001</v>
      </c>
    </row>
    <row r="276" spans="1:3" ht="15.75" x14ac:dyDescent="0.25">
      <c r="A276" s="33">
        <v>44995</v>
      </c>
      <c r="B276" s="34" t="s">
        <v>0</v>
      </c>
      <c r="C276" s="49">
        <v>90</v>
      </c>
    </row>
    <row r="277" spans="1:3" ht="15.75" x14ac:dyDescent="0.25">
      <c r="A277" s="33">
        <v>44995</v>
      </c>
      <c r="B277" s="34" t="s">
        <v>2</v>
      </c>
      <c r="C277" s="49">
        <v>200</v>
      </c>
    </row>
    <row r="278" spans="1:3" ht="15.75" x14ac:dyDescent="0.25">
      <c r="A278" s="33">
        <v>44995</v>
      </c>
      <c r="B278" s="34" t="s">
        <v>3</v>
      </c>
      <c r="C278" s="49">
        <v>90</v>
      </c>
    </row>
    <row r="279" spans="1:3" ht="15.75" x14ac:dyDescent="0.25">
      <c r="A279" s="33">
        <v>44995</v>
      </c>
      <c r="B279" s="34" t="s">
        <v>4</v>
      </c>
      <c r="C279" s="49">
        <v>130</v>
      </c>
    </row>
    <row r="280" spans="1:3" ht="15.75" x14ac:dyDescent="0.25">
      <c r="A280" s="33">
        <v>44995</v>
      </c>
      <c r="B280" s="34" t="s">
        <v>8</v>
      </c>
      <c r="C280" s="49">
        <v>190</v>
      </c>
    </row>
    <row r="281" spans="1:3" ht="15.75" x14ac:dyDescent="0.25">
      <c r="A281" s="33">
        <v>44995</v>
      </c>
      <c r="B281" s="34" t="s">
        <v>7</v>
      </c>
      <c r="C281" s="49">
        <v>160</v>
      </c>
    </row>
    <row r="282" spans="1:3" ht="15.75" x14ac:dyDescent="0.25">
      <c r="A282" s="33">
        <v>44995</v>
      </c>
      <c r="B282" s="34" t="s">
        <v>1</v>
      </c>
      <c r="C282" s="49">
        <v>60</v>
      </c>
    </row>
    <row r="283" spans="1:3" ht="15.75" x14ac:dyDescent="0.25">
      <c r="A283" s="33">
        <v>44995</v>
      </c>
      <c r="B283" s="34" t="s">
        <v>2</v>
      </c>
      <c r="C283" s="49">
        <v>320</v>
      </c>
    </row>
    <row r="284" spans="1:3" ht="15.75" x14ac:dyDescent="0.25">
      <c r="A284" s="33">
        <v>44995</v>
      </c>
      <c r="B284" s="34" t="s">
        <v>5</v>
      </c>
      <c r="C284" s="49">
        <v>80</v>
      </c>
    </row>
    <row r="285" spans="1:3" ht="15.75" x14ac:dyDescent="0.25">
      <c r="A285" s="33">
        <v>44995</v>
      </c>
      <c r="B285" s="34" t="s">
        <v>0</v>
      </c>
      <c r="C285" s="49">
        <v>210</v>
      </c>
    </row>
    <row r="286" spans="1:3" ht="15.75" x14ac:dyDescent="0.25">
      <c r="A286" s="33">
        <v>44995</v>
      </c>
      <c r="B286" s="48" t="s">
        <v>7</v>
      </c>
      <c r="C286" s="49">
        <v>330</v>
      </c>
    </row>
    <row r="287" spans="1:3" ht="15.75" x14ac:dyDescent="0.25">
      <c r="A287" s="33">
        <v>44995</v>
      </c>
      <c r="B287" s="34" t="s">
        <v>6</v>
      </c>
      <c r="C287" s="49">
        <v>520</v>
      </c>
    </row>
    <row r="288" spans="1:3" ht="15.75" x14ac:dyDescent="0.25">
      <c r="A288" s="33">
        <v>44995</v>
      </c>
      <c r="B288" s="34" t="s">
        <v>9</v>
      </c>
      <c r="C288" s="49">
        <v>260</v>
      </c>
    </row>
    <row r="289" spans="1:5" ht="15.75" x14ac:dyDescent="0.25">
      <c r="A289" s="33">
        <v>45000</v>
      </c>
      <c r="B289" s="48" t="s">
        <v>1</v>
      </c>
      <c r="C289" s="49">
        <v>60.2</v>
      </c>
    </row>
    <row r="290" spans="1:5" ht="15.75" x14ac:dyDescent="0.25">
      <c r="A290" s="33">
        <v>45000</v>
      </c>
      <c r="B290" s="48" t="s">
        <v>9</v>
      </c>
      <c r="C290" s="49">
        <v>510</v>
      </c>
    </row>
    <row r="291" spans="1:5" ht="15.75" x14ac:dyDescent="0.25">
      <c r="A291" s="33">
        <v>45005</v>
      </c>
      <c r="B291" s="48" t="s">
        <v>8</v>
      </c>
      <c r="C291" s="49">
        <v>120</v>
      </c>
    </row>
    <row r="292" spans="1:5" ht="15.75" x14ac:dyDescent="0.25">
      <c r="A292" s="33">
        <v>45017</v>
      </c>
      <c r="B292" s="48" t="s">
        <v>6</v>
      </c>
      <c r="C292" s="49">
        <v>1120.5</v>
      </c>
    </row>
    <row r="293" spans="1:5" ht="15.75" x14ac:dyDescent="0.25">
      <c r="A293" s="33">
        <v>45018</v>
      </c>
      <c r="B293" s="48" t="s">
        <v>5</v>
      </c>
      <c r="C293" s="49">
        <v>260.75</v>
      </c>
    </row>
    <row r="294" spans="1:5" ht="15.75" x14ac:dyDescent="0.25">
      <c r="A294" s="33">
        <v>45021</v>
      </c>
      <c r="B294" s="48" t="s">
        <v>0</v>
      </c>
      <c r="C294" s="49">
        <v>82</v>
      </c>
    </row>
    <row r="295" spans="1:5" ht="15.75" x14ac:dyDescent="0.25">
      <c r="A295" s="33">
        <v>45031</v>
      </c>
      <c r="B295" s="34" t="s">
        <v>5</v>
      </c>
      <c r="C295" s="49">
        <v>60</v>
      </c>
      <c r="E295" s="63"/>
    </row>
    <row r="296" spans="1:5" ht="15.75" x14ac:dyDescent="0.25">
      <c r="A296" s="33">
        <v>45031</v>
      </c>
      <c r="B296" s="34" t="s">
        <v>3</v>
      </c>
      <c r="C296" s="49">
        <v>100</v>
      </c>
    </row>
    <row r="297" spans="1:5" ht="15.75" x14ac:dyDescent="0.25">
      <c r="A297" s="33">
        <v>45031</v>
      </c>
      <c r="B297" s="34" t="s">
        <v>3</v>
      </c>
      <c r="C297" s="49">
        <v>75</v>
      </c>
    </row>
    <row r="298" spans="1:5" ht="15.75" x14ac:dyDescent="0.25">
      <c r="A298" s="33">
        <v>45031</v>
      </c>
      <c r="B298" s="34" t="s">
        <v>4</v>
      </c>
      <c r="C298" s="49">
        <v>115</v>
      </c>
    </row>
    <row r="299" spans="1:5" ht="15.75" x14ac:dyDescent="0.25">
      <c r="A299" s="33">
        <v>45031</v>
      </c>
      <c r="B299" s="34" t="s">
        <v>8</v>
      </c>
      <c r="C299" s="49">
        <v>170</v>
      </c>
    </row>
    <row r="300" spans="1:5" ht="15.75" x14ac:dyDescent="0.25">
      <c r="A300" s="33">
        <v>45031</v>
      </c>
      <c r="B300" s="34" t="s">
        <v>7</v>
      </c>
      <c r="C300" s="49">
        <v>140</v>
      </c>
    </row>
    <row r="301" spans="1:5" ht="15.75" x14ac:dyDescent="0.25">
      <c r="A301" s="33">
        <v>45031</v>
      </c>
      <c r="B301" s="34" t="s">
        <v>1</v>
      </c>
      <c r="C301" s="49">
        <v>45</v>
      </c>
    </row>
    <row r="302" spans="1:5" ht="15.75" x14ac:dyDescent="0.25">
      <c r="A302" s="33">
        <v>45031</v>
      </c>
      <c r="B302" s="34" t="s">
        <v>2</v>
      </c>
      <c r="C302" s="49">
        <v>300</v>
      </c>
    </row>
    <row r="303" spans="1:5" ht="15.75" x14ac:dyDescent="0.25">
      <c r="A303" s="33">
        <v>45031</v>
      </c>
      <c r="B303" s="34" t="s">
        <v>5</v>
      </c>
      <c r="C303" s="49">
        <v>110</v>
      </c>
    </row>
    <row r="304" spans="1:5" ht="15.75" x14ac:dyDescent="0.25">
      <c r="A304" s="33">
        <v>45031</v>
      </c>
      <c r="B304" s="34" t="s">
        <v>0</v>
      </c>
      <c r="C304" s="49">
        <v>190</v>
      </c>
    </row>
    <row r="305" spans="1:3" ht="15.75" x14ac:dyDescent="0.25">
      <c r="A305" s="33">
        <v>45031</v>
      </c>
      <c r="B305" s="34" t="s">
        <v>6</v>
      </c>
      <c r="C305" s="49">
        <v>480</v>
      </c>
    </row>
    <row r="306" spans="1:3" ht="15.75" x14ac:dyDescent="0.25">
      <c r="A306" s="33">
        <v>45031</v>
      </c>
      <c r="B306" s="34" t="s">
        <v>9</v>
      </c>
      <c r="C306" s="49">
        <v>240</v>
      </c>
    </row>
    <row r="307" spans="1:3" ht="15.75" x14ac:dyDescent="0.25">
      <c r="A307" s="33">
        <v>45036</v>
      </c>
      <c r="B307" s="48" t="s">
        <v>2</v>
      </c>
      <c r="C307" s="49">
        <v>190</v>
      </c>
    </row>
    <row r="308" spans="1:3" ht="15.75" x14ac:dyDescent="0.25">
      <c r="A308" s="33">
        <v>45048</v>
      </c>
      <c r="B308" s="48" t="s">
        <v>3</v>
      </c>
      <c r="C308" s="49">
        <v>85.5</v>
      </c>
    </row>
    <row r="309" spans="1:3" ht="15.75" x14ac:dyDescent="0.25">
      <c r="A309" s="33">
        <v>45056</v>
      </c>
      <c r="B309" s="48" t="s">
        <v>7</v>
      </c>
      <c r="C309" s="49">
        <v>330</v>
      </c>
    </row>
    <row r="310" spans="1:3" ht="15.75" x14ac:dyDescent="0.25">
      <c r="A310" s="33">
        <v>45056</v>
      </c>
      <c r="B310" s="48" t="s">
        <v>4</v>
      </c>
      <c r="C310" s="49">
        <v>150.30000000000001</v>
      </c>
    </row>
    <row r="311" spans="1:3" ht="15.75" x14ac:dyDescent="0.25">
      <c r="A311" s="33">
        <v>45061</v>
      </c>
      <c r="B311" s="48" t="s">
        <v>1</v>
      </c>
      <c r="C311" s="49">
        <v>58.2</v>
      </c>
    </row>
    <row r="312" spans="1:3" ht="15.75" x14ac:dyDescent="0.25">
      <c r="A312" s="33">
        <v>45066</v>
      </c>
      <c r="B312" s="34" t="s">
        <v>1</v>
      </c>
      <c r="C312" s="49">
        <v>25</v>
      </c>
    </row>
    <row r="313" spans="1:3" ht="15.75" x14ac:dyDescent="0.25">
      <c r="A313" s="33">
        <v>45066</v>
      </c>
      <c r="B313" s="34" t="s">
        <v>4</v>
      </c>
      <c r="C313" s="49">
        <v>140</v>
      </c>
    </row>
    <row r="314" spans="1:3" ht="15.75" x14ac:dyDescent="0.25">
      <c r="A314" s="33">
        <v>45066</v>
      </c>
      <c r="B314" s="34" t="s">
        <v>3</v>
      </c>
      <c r="C314" s="49">
        <v>100</v>
      </c>
    </row>
    <row r="315" spans="1:3" ht="15.75" x14ac:dyDescent="0.25">
      <c r="A315" s="33">
        <v>45066</v>
      </c>
      <c r="B315" s="34" t="s">
        <v>4</v>
      </c>
      <c r="C315" s="49">
        <v>140</v>
      </c>
    </row>
    <row r="316" spans="1:3" ht="15.75" x14ac:dyDescent="0.25">
      <c r="A316" s="33">
        <v>45066</v>
      </c>
      <c r="B316" s="34" t="s">
        <v>8</v>
      </c>
      <c r="C316" s="49">
        <v>200</v>
      </c>
    </row>
    <row r="317" spans="1:3" ht="15.75" x14ac:dyDescent="0.25">
      <c r="A317" s="33">
        <v>45066</v>
      </c>
      <c r="B317" s="34" t="s">
        <v>7</v>
      </c>
      <c r="C317" s="49">
        <v>170</v>
      </c>
    </row>
    <row r="318" spans="1:3" ht="15.75" x14ac:dyDescent="0.25">
      <c r="A318" s="33">
        <v>45066</v>
      </c>
      <c r="B318" s="34" t="s">
        <v>1</v>
      </c>
      <c r="C318" s="49">
        <v>70</v>
      </c>
    </row>
    <row r="319" spans="1:3" ht="15.75" x14ac:dyDescent="0.25">
      <c r="A319" s="33">
        <v>45066</v>
      </c>
      <c r="B319" s="34" t="s">
        <v>2</v>
      </c>
      <c r="C319" s="49">
        <v>330</v>
      </c>
    </row>
    <row r="320" spans="1:3" ht="15.75" x14ac:dyDescent="0.25">
      <c r="A320" s="33">
        <v>45066</v>
      </c>
      <c r="B320" s="34" t="s">
        <v>5</v>
      </c>
      <c r="C320" s="49">
        <v>90</v>
      </c>
    </row>
    <row r="321" spans="1:6" ht="15.75" x14ac:dyDescent="0.25">
      <c r="A321" s="33">
        <v>45066</v>
      </c>
      <c r="B321" s="34" t="s">
        <v>0</v>
      </c>
      <c r="C321" s="49">
        <v>220</v>
      </c>
    </row>
    <row r="322" spans="1:6" ht="15.75" x14ac:dyDescent="0.25">
      <c r="A322" s="33">
        <v>45066</v>
      </c>
      <c r="B322" s="34" t="s">
        <v>9</v>
      </c>
      <c r="C322" s="49">
        <v>270</v>
      </c>
    </row>
    <row r="323" spans="1:6" ht="15.75" x14ac:dyDescent="0.25">
      <c r="A323" s="33">
        <v>45066</v>
      </c>
      <c r="B323" s="34" t="s">
        <v>6</v>
      </c>
      <c r="C323" s="49">
        <v>550</v>
      </c>
    </row>
    <row r="324" spans="1:6" ht="15.75" x14ac:dyDescent="0.25">
      <c r="A324" s="33">
        <v>45092</v>
      </c>
      <c r="B324" s="48" t="s">
        <v>9</v>
      </c>
      <c r="C324" s="49">
        <v>510</v>
      </c>
    </row>
    <row r="325" spans="1:6" ht="15.75" x14ac:dyDescent="0.25">
      <c r="A325" s="33">
        <v>45097</v>
      </c>
      <c r="B325" s="48" t="s">
        <v>2</v>
      </c>
      <c r="C325" s="49">
        <v>170</v>
      </c>
    </row>
    <row r="326" spans="1:6" ht="15.75" x14ac:dyDescent="0.25">
      <c r="A326" s="33">
        <v>45097</v>
      </c>
      <c r="B326" s="48" t="s">
        <v>8</v>
      </c>
      <c r="C326" s="49">
        <v>120</v>
      </c>
      <c r="E326" s="63"/>
      <c r="F326" s="63"/>
    </row>
    <row r="327" spans="1:6" ht="15.75" x14ac:dyDescent="0.25">
      <c r="A327" s="33">
        <v>45102</v>
      </c>
      <c r="B327" s="34" t="s">
        <v>2</v>
      </c>
      <c r="C327" s="49">
        <v>170</v>
      </c>
      <c r="E327" s="63"/>
    </row>
    <row r="328" spans="1:6" ht="15.75" x14ac:dyDescent="0.25">
      <c r="A328" s="33">
        <v>45102</v>
      </c>
      <c r="B328" s="34" t="s">
        <v>3</v>
      </c>
      <c r="C328" s="49">
        <v>85</v>
      </c>
    </row>
    <row r="329" spans="1:6" ht="15.75" x14ac:dyDescent="0.25">
      <c r="A329" s="33">
        <v>45102</v>
      </c>
      <c r="B329" s="34" t="s">
        <v>4</v>
      </c>
      <c r="C329" s="49">
        <v>125</v>
      </c>
    </row>
    <row r="330" spans="1:6" ht="15.75" x14ac:dyDescent="0.25">
      <c r="A330" s="33">
        <v>45102</v>
      </c>
      <c r="B330" s="34" t="s">
        <v>9</v>
      </c>
      <c r="C330" s="49">
        <v>250</v>
      </c>
    </row>
    <row r="331" spans="1:6" ht="15.75" x14ac:dyDescent="0.25">
      <c r="A331" s="33">
        <v>45102</v>
      </c>
      <c r="B331" s="34" t="s">
        <v>8</v>
      </c>
      <c r="C331" s="49">
        <v>180</v>
      </c>
    </row>
    <row r="332" spans="1:6" ht="15.75" x14ac:dyDescent="0.25">
      <c r="A332" s="33">
        <v>45102</v>
      </c>
      <c r="B332" s="34" t="s">
        <v>7</v>
      </c>
      <c r="C332" s="49">
        <v>150</v>
      </c>
    </row>
    <row r="333" spans="1:6" ht="15.75" x14ac:dyDescent="0.25">
      <c r="A333" s="33">
        <v>45102</v>
      </c>
      <c r="B333" s="34" t="s">
        <v>1</v>
      </c>
      <c r="C333" s="49">
        <v>55</v>
      </c>
    </row>
    <row r="334" spans="1:6" ht="15.75" x14ac:dyDescent="0.25">
      <c r="A334" s="33">
        <v>45102</v>
      </c>
      <c r="B334" s="34" t="s">
        <v>2</v>
      </c>
      <c r="C334" s="49">
        <v>310</v>
      </c>
    </row>
    <row r="335" spans="1:6" ht="15.75" x14ac:dyDescent="0.25">
      <c r="A335" s="33">
        <v>45102</v>
      </c>
      <c r="B335" s="34" t="s">
        <v>5</v>
      </c>
      <c r="C335" s="49">
        <v>130</v>
      </c>
    </row>
    <row r="336" spans="1:6" ht="15.75" x14ac:dyDescent="0.25">
      <c r="A336" s="33">
        <v>45102</v>
      </c>
      <c r="B336" s="34" t="s">
        <v>0</v>
      </c>
      <c r="C336" s="49">
        <v>200</v>
      </c>
    </row>
    <row r="337" spans="1:3" ht="15.75" x14ac:dyDescent="0.25">
      <c r="A337" s="33">
        <v>45102</v>
      </c>
      <c r="B337" s="34" t="s">
        <v>9</v>
      </c>
      <c r="C337" s="49">
        <v>250</v>
      </c>
    </row>
    <row r="338" spans="1:3" ht="15.75" x14ac:dyDescent="0.25">
      <c r="A338" s="33">
        <v>45102</v>
      </c>
      <c r="B338" s="34" t="s">
        <v>6</v>
      </c>
      <c r="C338" s="49">
        <v>510</v>
      </c>
    </row>
    <row r="339" spans="1:3" ht="15.75" x14ac:dyDescent="0.25">
      <c r="A339" s="33">
        <v>45108</v>
      </c>
      <c r="B339" s="48" t="s">
        <v>6</v>
      </c>
      <c r="C339" s="49">
        <v>1120.5</v>
      </c>
    </row>
    <row r="340" spans="1:3" ht="15.75" x14ac:dyDescent="0.25">
      <c r="A340" s="33">
        <v>45109</v>
      </c>
      <c r="B340" s="48" t="s">
        <v>3</v>
      </c>
      <c r="C340" s="49">
        <v>80.5</v>
      </c>
    </row>
    <row r="341" spans="1:3" ht="15.75" x14ac:dyDescent="0.25">
      <c r="A341" s="33">
        <v>45109</v>
      </c>
      <c r="B341" s="48" t="s">
        <v>5</v>
      </c>
      <c r="C341" s="49">
        <v>260.75</v>
      </c>
    </row>
    <row r="342" spans="1:3" ht="15.75" x14ac:dyDescent="0.25">
      <c r="A342" s="33">
        <v>45117</v>
      </c>
      <c r="B342" s="48" t="s">
        <v>4</v>
      </c>
      <c r="C342" s="49">
        <v>155.30000000000001</v>
      </c>
    </row>
    <row r="343" spans="1:3" ht="15.75" x14ac:dyDescent="0.25">
      <c r="A343" s="33">
        <v>45137</v>
      </c>
      <c r="B343" s="34" t="s">
        <v>3</v>
      </c>
      <c r="C343" s="49">
        <v>110</v>
      </c>
    </row>
    <row r="344" spans="1:3" ht="15.75" x14ac:dyDescent="0.25">
      <c r="A344" s="33">
        <v>45137</v>
      </c>
      <c r="B344" s="34" t="s">
        <v>8</v>
      </c>
      <c r="C344" s="49">
        <v>200</v>
      </c>
    </row>
    <row r="345" spans="1:3" ht="15.75" x14ac:dyDescent="0.25">
      <c r="A345" s="33">
        <v>45137</v>
      </c>
      <c r="B345" s="34" t="s">
        <v>3</v>
      </c>
      <c r="C345" s="49">
        <v>80</v>
      </c>
    </row>
    <row r="346" spans="1:3" ht="15.75" x14ac:dyDescent="0.25">
      <c r="A346" s="33">
        <v>45137</v>
      </c>
      <c r="B346" s="34" t="s">
        <v>4</v>
      </c>
      <c r="C346" s="49">
        <v>120</v>
      </c>
    </row>
    <row r="347" spans="1:3" ht="15.75" x14ac:dyDescent="0.25">
      <c r="A347" s="33">
        <v>45137</v>
      </c>
      <c r="B347" s="34" t="s">
        <v>8</v>
      </c>
      <c r="C347" s="49">
        <v>170</v>
      </c>
    </row>
    <row r="348" spans="1:3" ht="15.75" x14ac:dyDescent="0.25">
      <c r="A348" s="33">
        <v>45137</v>
      </c>
      <c r="B348" s="34" t="s">
        <v>7</v>
      </c>
      <c r="C348" s="49">
        <v>140</v>
      </c>
    </row>
    <row r="349" spans="1:3" ht="15.75" x14ac:dyDescent="0.25">
      <c r="A349" s="33">
        <v>45137</v>
      </c>
      <c r="B349" s="34" t="s">
        <v>1</v>
      </c>
      <c r="C349" s="49">
        <v>50</v>
      </c>
    </row>
    <row r="350" spans="1:3" ht="15.75" x14ac:dyDescent="0.25">
      <c r="A350" s="33">
        <v>45137</v>
      </c>
      <c r="B350" s="34" t="s">
        <v>2</v>
      </c>
      <c r="C350" s="49">
        <v>300</v>
      </c>
    </row>
    <row r="351" spans="1:3" ht="15.75" x14ac:dyDescent="0.25">
      <c r="A351" s="33">
        <v>45137</v>
      </c>
      <c r="B351" s="34" t="s">
        <v>5</v>
      </c>
      <c r="C351" s="49">
        <v>95</v>
      </c>
    </row>
    <row r="352" spans="1:3" ht="15.75" x14ac:dyDescent="0.25">
      <c r="A352" s="33">
        <v>45137</v>
      </c>
      <c r="B352" s="34" t="s">
        <v>0</v>
      </c>
      <c r="C352" s="49">
        <v>190</v>
      </c>
    </row>
    <row r="353" spans="1:5" ht="15.75" x14ac:dyDescent="0.25">
      <c r="A353" s="33">
        <v>45137</v>
      </c>
      <c r="B353" s="34" t="s">
        <v>6</v>
      </c>
      <c r="C353" s="49">
        <v>480</v>
      </c>
      <c r="E353" s="63"/>
    </row>
    <row r="354" spans="1:5" ht="15.75" x14ac:dyDescent="0.25">
      <c r="A354" s="33">
        <v>45137</v>
      </c>
      <c r="B354" s="34" t="s">
        <v>9</v>
      </c>
      <c r="C354" s="49">
        <v>240</v>
      </c>
    </row>
    <row r="355" spans="1:5" ht="15.75" x14ac:dyDescent="0.25">
      <c r="A355" s="33">
        <v>45139</v>
      </c>
      <c r="B355" s="34" t="s">
        <v>3</v>
      </c>
      <c r="C355" s="49">
        <v>95</v>
      </c>
    </row>
    <row r="356" spans="1:5" ht="15.75" x14ac:dyDescent="0.25">
      <c r="A356" s="33">
        <v>45139</v>
      </c>
      <c r="B356" s="34" t="s">
        <v>4</v>
      </c>
      <c r="C356" s="49">
        <v>135</v>
      </c>
    </row>
    <row r="357" spans="1:5" ht="15.75" x14ac:dyDescent="0.25">
      <c r="A357" s="33">
        <v>45139</v>
      </c>
      <c r="B357" s="34" t="s">
        <v>8</v>
      </c>
      <c r="C357" s="49">
        <v>190</v>
      </c>
    </row>
    <row r="358" spans="1:5" ht="15.75" x14ac:dyDescent="0.25">
      <c r="A358" s="33">
        <v>45139</v>
      </c>
      <c r="B358" s="34" t="s">
        <v>7</v>
      </c>
      <c r="C358" s="49">
        <v>160</v>
      </c>
    </row>
    <row r="359" spans="1:5" ht="15.75" x14ac:dyDescent="0.25">
      <c r="A359" s="33">
        <v>45139</v>
      </c>
      <c r="B359" s="34" t="s">
        <v>1</v>
      </c>
      <c r="C359" s="49">
        <v>65</v>
      </c>
    </row>
    <row r="360" spans="1:5" ht="15.75" x14ac:dyDescent="0.25">
      <c r="A360" s="33">
        <v>45139</v>
      </c>
      <c r="B360" s="34" t="s">
        <v>2</v>
      </c>
      <c r="C360" s="49">
        <v>320</v>
      </c>
    </row>
    <row r="361" spans="1:5" ht="15.75" x14ac:dyDescent="0.25">
      <c r="A361" s="33">
        <v>45139</v>
      </c>
      <c r="B361" s="34" t="s">
        <v>5</v>
      </c>
      <c r="C361" s="49">
        <v>85</v>
      </c>
    </row>
    <row r="362" spans="1:5" ht="15.75" x14ac:dyDescent="0.25">
      <c r="A362" s="33">
        <v>45139</v>
      </c>
      <c r="B362" s="34" t="s">
        <v>0</v>
      </c>
      <c r="C362" s="49">
        <v>210</v>
      </c>
    </row>
    <row r="363" spans="1:5" ht="15.75" x14ac:dyDescent="0.25">
      <c r="A363" s="33">
        <v>45139</v>
      </c>
      <c r="B363" s="34" t="s">
        <v>9</v>
      </c>
      <c r="C363" s="49">
        <v>260</v>
      </c>
    </row>
    <row r="364" spans="1:5" ht="15.75" x14ac:dyDescent="0.25">
      <c r="A364" s="33">
        <v>45139</v>
      </c>
      <c r="B364" s="34" t="s">
        <v>6</v>
      </c>
      <c r="C364" s="49">
        <v>530</v>
      </c>
    </row>
    <row r="365" spans="1:5" ht="15.75" x14ac:dyDescent="0.25">
      <c r="A365" s="33">
        <v>45143</v>
      </c>
      <c r="B365" s="34" t="s">
        <v>4</v>
      </c>
      <c r="C365" s="49">
        <v>140</v>
      </c>
    </row>
    <row r="366" spans="1:5" ht="15.75" x14ac:dyDescent="0.25">
      <c r="A366" s="33">
        <v>45143</v>
      </c>
      <c r="B366" s="48" t="s">
        <v>0</v>
      </c>
      <c r="C366" s="49">
        <v>82</v>
      </c>
    </row>
    <row r="367" spans="1:5" ht="15.75" x14ac:dyDescent="0.25">
      <c r="A367" s="33">
        <v>45143</v>
      </c>
      <c r="B367" s="34" t="s">
        <v>6</v>
      </c>
      <c r="C367" s="49">
        <v>600</v>
      </c>
    </row>
    <row r="368" spans="1:5" ht="15.75" x14ac:dyDescent="0.25">
      <c r="A368" s="33">
        <v>45153</v>
      </c>
      <c r="B368" s="48" t="s">
        <v>9</v>
      </c>
      <c r="C368" s="49">
        <v>540</v>
      </c>
    </row>
    <row r="369" spans="1:3" ht="15.75" x14ac:dyDescent="0.25">
      <c r="A369" s="33">
        <v>45158</v>
      </c>
      <c r="B369" s="48" t="s">
        <v>8</v>
      </c>
      <c r="C369" s="49">
        <v>125</v>
      </c>
    </row>
    <row r="370" spans="1:3" ht="15.75" x14ac:dyDescent="0.25">
      <c r="A370" s="33">
        <v>45170</v>
      </c>
      <c r="B370" s="48" t="s">
        <v>6</v>
      </c>
      <c r="C370" s="49">
        <v>980.5</v>
      </c>
    </row>
    <row r="371" spans="1:3" ht="15.75" x14ac:dyDescent="0.25">
      <c r="A371" s="33">
        <v>45171</v>
      </c>
      <c r="B371" s="48" t="s">
        <v>5</v>
      </c>
      <c r="C371" s="49">
        <v>250.75</v>
      </c>
    </row>
    <row r="372" spans="1:3" ht="15.75" x14ac:dyDescent="0.25">
      <c r="A372" s="33">
        <v>45174</v>
      </c>
      <c r="B372" s="34" t="s">
        <v>3</v>
      </c>
      <c r="C372" s="49">
        <v>90</v>
      </c>
    </row>
    <row r="373" spans="1:3" ht="15.75" x14ac:dyDescent="0.25">
      <c r="A373" s="33">
        <v>45174</v>
      </c>
      <c r="B373" s="34" t="s">
        <v>4</v>
      </c>
      <c r="C373" s="49">
        <v>130</v>
      </c>
    </row>
    <row r="374" spans="1:3" ht="15.75" x14ac:dyDescent="0.25">
      <c r="A374" s="33">
        <v>45174</v>
      </c>
      <c r="B374" s="34" t="s">
        <v>8</v>
      </c>
      <c r="C374" s="49">
        <v>180</v>
      </c>
    </row>
    <row r="375" spans="1:3" ht="15.75" x14ac:dyDescent="0.25">
      <c r="A375" s="33">
        <v>45174</v>
      </c>
      <c r="B375" s="34" t="s">
        <v>7</v>
      </c>
      <c r="C375" s="49">
        <v>150</v>
      </c>
    </row>
    <row r="376" spans="1:3" ht="15.75" x14ac:dyDescent="0.25">
      <c r="A376" s="33">
        <v>45174</v>
      </c>
      <c r="B376" s="34" t="s">
        <v>1</v>
      </c>
      <c r="C376" s="49">
        <v>60</v>
      </c>
    </row>
    <row r="377" spans="1:3" ht="15.75" x14ac:dyDescent="0.25">
      <c r="A377" s="33">
        <v>45174</v>
      </c>
      <c r="B377" s="34" t="s">
        <v>2</v>
      </c>
      <c r="C377" s="49">
        <v>310</v>
      </c>
    </row>
    <row r="378" spans="1:3" ht="15.75" x14ac:dyDescent="0.25">
      <c r="A378" s="33">
        <v>45174</v>
      </c>
      <c r="B378" s="34" t="s">
        <v>5</v>
      </c>
      <c r="C378" s="49">
        <v>120</v>
      </c>
    </row>
    <row r="379" spans="1:3" ht="15.75" x14ac:dyDescent="0.25">
      <c r="A379" s="33">
        <v>45174</v>
      </c>
      <c r="B379" s="34" t="s">
        <v>0</v>
      </c>
      <c r="C379" s="49">
        <v>200</v>
      </c>
    </row>
    <row r="380" spans="1:3" ht="15.75" x14ac:dyDescent="0.25">
      <c r="A380" s="33">
        <v>45174</v>
      </c>
      <c r="B380" s="48" t="s">
        <v>0</v>
      </c>
      <c r="C380" s="49">
        <v>78</v>
      </c>
    </row>
    <row r="381" spans="1:3" ht="15.75" x14ac:dyDescent="0.25">
      <c r="A381" s="33">
        <v>45174</v>
      </c>
      <c r="B381" s="34" t="s">
        <v>6</v>
      </c>
      <c r="C381" s="49">
        <v>490</v>
      </c>
    </row>
    <row r="382" spans="1:3" ht="15.75" x14ac:dyDescent="0.25">
      <c r="A382" s="33">
        <v>45174</v>
      </c>
      <c r="B382" s="34" t="s">
        <v>9</v>
      </c>
      <c r="C382" s="49">
        <v>250</v>
      </c>
    </row>
    <row r="383" spans="1:3" ht="15.75" x14ac:dyDescent="0.25">
      <c r="A383" s="33">
        <v>45179</v>
      </c>
      <c r="B383" s="34" t="s">
        <v>0</v>
      </c>
      <c r="C383" s="49">
        <v>120</v>
      </c>
    </row>
    <row r="384" spans="1:3" ht="15.75" x14ac:dyDescent="0.25">
      <c r="A384" s="33">
        <v>45179</v>
      </c>
      <c r="B384" s="48" t="s">
        <v>7</v>
      </c>
      <c r="C384" s="49">
        <v>340</v>
      </c>
    </row>
    <row r="385" spans="1:3" ht="15.75" x14ac:dyDescent="0.25">
      <c r="A385" s="33">
        <v>45179</v>
      </c>
      <c r="B385" s="34" t="s">
        <v>9</v>
      </c>
      <c r="C385" s="49">
        <v>240</v>
      </c>
    </row>
    <row r="386" spans="1:3" ht="15.75" x14ac:dyDescent="0.25">
      <c r="A386" s="33">
        <v>45184</v>
      </c>
      <c r="B386" s="48" t="s">
        <v>1</v>
      </c>
      <c r="C386" s="49">
        <v>58.2</v>
      </c>
    </row>
    <row r="387" spans="1:3" ht="15.75" x14ac:dyDescent="0.25">
      <c r="A387" s="33">
        <v>45192</v>
      </c>
      <c r="B387" s="34" t="s">
        <v>7</v>
      </c>
      <c r="C387" s="49">
        <v>23</v>
      </c>
    </row>
    <row r="388" spans="1:3" ht="15.75" x14ac:dyDescent="0.25">
      <c r="A388" s="33">
        <v>45209</v>
      </c>
      <c r="B388" s="34" t="s">
        <v>3</v>
      </c>
      <c r="C388" s="49">
        <v>100</v>
      </c>
    </row>
    <row r="389" spans="1:3" ht="15.75" x14ac:dyDescent="0.25">
      <c r="A389" s="33">
        <v>45209</v>
      </c>
      <c r="B389" s="34" t="s">
        <v>4</v>
      </c>
      <c r="C389" s="49">
        <v>140</v>
      </c>
    </row>
    <row r="390" spans="1:3" ht="15.75" x14ac:dyDescent="0.25">
      <c r="A390" s="33">
        <v>45209</v>
      </c>
      <c r="B390" s="34" t="s">
        <v>8</v>
      </c>
      <c r="C390" s="49">
        <v>200</v>
      </c>
    </row>
    <row r="391" spans="1:3" ht="15.75" x14ac:dyDescent="0.25">
      <c r="A391" s="33">
        <v>45209</v>
      </c>
      <c r="B391" s="34" t="s">
        <v>7</v>
      </c>
      <c r="C391" s="49">
        <v>170</v>
      </c>
    </row>
    <row r="392" spans="1:3" ht="15.75" x14ac:dyDescent="0.25">
      <c r="A392" s="33">
        <v>45209</v>
      </c>
      <c r="B392" s="34" t="s">
        <v>1</v>
      </c>
      <c r="C392" s="49">
        <v>70</v>
      </c>
    </row>
    <row r="393" spans="1:3" ht="15.75" x14ac:dyDescent="0.25">
      <c r="A393" s="33">
        <v>45209</v>
      </c>
      <c r="B393" s="34" t="s">
        <v>2</v>
      </c>
      <c r="C393" s="49">
        <v>330</v>
      </c>
    </row>
    <row r="394" spans="1:3" ht="15.75" x14ac:dyDescent="0.25">
      <c r="A394" s="33">
        <v>45209</v>
      </c>
      <c r="B394" s="34" t="s">
        <v>5</v>
      </c>
      <c r="C394" s="49">
        <v>100</v>
      </c>
    </row>
    <row r="395" spans="1:3" ht="15.75" x14ac:dyDescent="0.25">
      <c r="A395" s="33">
        <v>45209</v>
      </c>
      <c r="B395" s="34" t="s">
        <v>0</v>
      </c>
      <c r="C395" s="49">
        <v>220</v>
      </c>
    </row>
    <row r="396" spans="1:3" ht="15.75" x14ac:dyDescent="0.25">
      <c r="A396" s="33">
        <v>45209</v>
      </c>
      <c r="B396" s="48" t="s">
        <v>7</v>
      </c>
      <c r="C396" s="49">
        <v>340</v>
      </c>
    </row>
    <row r="397" spans="1:3" ht="15.75" x14ac:dyDescent="0.25">
      <c r="A397" s="33">
        <v>45209</v>
      </c>
      <c r="B397" s="34" t="s">
        <v>9</v>
      </c>
      <c r="C397" s="49">
        <v>270</v>
      </c>
    </row>
    <row r="398" spans="1:3" ht="15.75" x14ac:dyDescent="0.25">
      <c r="A398" s="33">
        <v>45209</v>
      </c>
      <c r="B398" s="34" t="s">
        <v>6</v>
      </c>
      <c r="C398" s="49">
        <v>540</v>
      </c>
    </row>
    <row r="399" spans="1:3" ht="15.75" x14ac:dyDescent="0.25">
      <c r="A399" s="33">
        <v>45211</v>
      </c>
      <c r="B399" s="48" t="s">
        <v>6</v>
      </c>
      <c r="C399" s="49">
        <v>455</v>
      </c>
    </row>
    <row r="400" spans="1:3" ht="15.75" x14ac:dyDescent="0.25">
      <c r="A400" s="33">
        <v>45211</v>
      </c>
      <c r="B400" s="48" t="s">
        <v>4</v>
      </c>
      <c r="C400" s="49">
        <v>455</v>
      </c>
    </row>
    <row r="401" spans="1:3" ht="15.75" x14ac:dyDescent="0.25">
      <c r="A401" s="33">
        <v>45214</v>
      </c>
      <c r="B401" s="34" t="s">
        <v>3</v>
      </c>
      <c r="C401" s="49">
        <v>85</v>
      </c>
    </row>
    <row r="402" spans="1:3" ht="15.75" x14ac:dyDescent="0.25">
      <c r="A402" s="33">
        <v>45214</v>
      </c>
      <c r="B402" s="34" t="s">
        <v>8</v>
      </c>
      <c r="C402" s="49">
        <v>170</v>
      </c>
    </row>
    <row r="403" spans="1:3" ht="15.75" x14ac:dyDescent="0.25">
      <c r="A403" s="33">
        <v>45214</v>
      </c>
      <c r="B403" s="34" t="s">
        <v>7</v>
      </c>
      <c r="C403" s="49">
        <v>140</v>
      </c>
    </row>
    <row r="404" spans="1:3" ht="15.75" x14ac:dyDescent="0.25">
      <c r="A404" s="33">
        <v>45214</v>
      </c>
      <c r="B404" s="34" t="s">
        <v>2</v>
      </c>
      <c r="C404" s="49">
        <v>300</v>
      </c>
    </row>
    <row r="405" spans="1:3" ht="15.75" x14ac:dyDescent="0.25">
      <c r="A405" s="33">
        <v>45214</v>
      </c>
      <c r="B405" s="34" t="s">
        <v>6</v>
      </c>
      <c r="C405" s="49">
        <v>500</v>
      </c>
    </row>
    <row r="406" spans="1:3" ht="15.75" x14ac:dyDescent="0.25">
      <c r="A406" s="33">
        <v>45214</v>
      </c>
      <c r="B406" s="34" t="s">
        <v>0</v>
      </c>
      <c r="C406" s="49">
        <v>190</v>
      </c>
    </row>
    <row r="407" spans="1:3" ht="15.75" x14ac:dyDescent="0.25">
      <c r="A407" s="33">
        <v>45214</v>
      </c>
      <c r="B407" s="34" t="s">
        <v>8</v>
      </c>
      <c r="C407" s="49">
        <v>160</v>
      </c>
    </row>
    <row r="408" spans="1:3" ht="15.75" x14ac:dyDescent="0.25">
      <c r="A408" s="33">
        <v>45214</v>
      </c>
      <c r="B408" s="34" t="s">
        <v>5</v>
      </c>
      <c r="C408" s="49">
        <v>80</v>
      </c>
    </row>
    <row r="409" spans="1:3" ht="15.75" x14ac:dyDescent="0.25">
      <c r="A409" s="33">
        <v>45214</v>
      </c>
      <c r="B409" s="48" t="s">
        <v>1</v>
      </c>
      <c r="C409" s="49">
        <v>52.2</v>
      </c>
    </row>
    <row r="410" spans="1:3" ht="15.75" x14ac:dyDescent="0.25">
      <c r="A410" s="33">
        <v>45214</v>
      </c>
      <c r="B410" s="34" t="s">
        <v>9</v>
      </c>
      <c r="C410" s="49">
        <v>240</v>
      </c>
    </row>
    <row r="411" spans="1:3" ht="15.75" x14ac:dyDescent="0.25">
      <c r="A411" s="33">
        <v>45219</v>
      </c>
      <c r="B411" s="34" t="s">
        <v>3</v>
      </c>
      <c r="C411" s="49">
        <v>110</v>
      </c>
    </row>
    <row r="412" spans="1:3" ht="15.75" x14ac:dyDescent="0.25">
      <c r="A412" s="33">
        <v>45219</v>
      </c>
      <c r="B412" s="34" t="s">
        <v>4</v>
      </c>
      <c r="C412" s="49">
        <v>150</v>
      </c>
    </row>
    <row r="413" spans="1:3" ht="15.75" x14ac:dyDescent="0.25">
      <c r="A413" s="33">
        <v>45219</v>
      </c>
      <c r="B413" s="34" t="s">
        <v>8</v>
      </c>
      <c r="C413" s="49">
        <v>210</v>
      </c>
    </row>
    <row r="414" spans="1:3" ht="15.75" x14ac:dyDescent="0.25">
      <c r="A414" s="33">
        <v>45219</v>
      </c>
      <c r="B414" s="34" t="s">
        <v>7</v>
      </c>
      <c r="C414" s="49">
        <v>180</v>
      </c>
    </row>
    <row r="415" spans="1:3" ht="15.75" x14ac:dyDescent="0.25">
      <c r="A415" s="33">
        <v>45219</v>
      </c>
      <c r="B415" s="34" t="s">
        <v>1</v>
      </c>
      <c r="C415" s="49">
        <v>75</v>
      </c>
    </row>
    <row r="416" spans="1:3" ht="15.75" x14ac:dyDescent="0.25">
      <c r="A416" s="33">
        <v>45219</v>
      </c>
      <c r="B416" s="34" t="s">
        <v>2</v>
      </c>
      <c r="C416" s="49">
        <v>340</v>
      </c>
    </row>
    <row r="417" spans="1:3" ht="15.75" x14ac:dyDescent="0.25">
      <c r="A417" s="33">
        <v>45219</v>
      </c>
      <c r="B417" s="34" t="s">
        <v>5</v>
      </c>
      <c r="C417" s="49">
        <v>130</v>
      </c>
    </row>
    <row r="418" spans="1:3" ht="15.75" x14ac:dyDescent="0.25">
      <c r="A418" s="33">
        <v>45219</v>
      </c>
      <c r="B418" s="34" t="s">
        <v>0</v>
      </c>
      <c r="C418" s="49">
        <v>230</v>
      </c>
    </row>
    <row r="419" spans="1:3" ht="15.75" x14ac:dyDescent="0.25">
      <c r="A419" s="33">
        <v>45219</v>
      </c>
      <c r="B419" s="48" t="s">
        <v>2</v>
      </c>
      <c r="C419" s="49">
        <v>170</v>
      </c>
    </row>
    <row r="420" spans="1:3" ht="15.75" x14ac:dyDescent="0.25">
      <c r="A420" s="33">
        <v>45219</v>
      </c>
      <c r="B420" s="34" t="s">
        <v>9</v>
      </c>
      <c r="C420" s="49">
        <v>280</v>
      </c>
    </row>
    <row r="421" spans="1:3" ht="15.75" x14ac:dyDescent="0.25">
      <c r="A421" s="33">
        <v>45230</v>
      </c>
      <c r="B421" s="34" t="s">
        <v>5</v>
      </c>
      <c r="C421" s="49">
        <v>13</v>
      </c>
    </row>
    <row r="422" spans="1:3" ht="15.75" x14ac:dyDescent="0.25">
      <c r="A422" s="33">
        <v>45232</v>
      </c>
      <c r="B422" s="48" t="s">
        <v>3</v>
      </c>
      <c r="C422" s="49">
        <v>80.5</v>
      </c>
    </row>
    <row r="423" spans="1:3" ht="15.75" x14ac:dyDescent="0.25">
      <c r="A423" s="33">
        <v>45234</v>
      </c>
      <c r="B423" s="48" t="s">
        <v>5</v>
      </c>
      <c r="C423" s="49">
        <v>111</v>
      </c>
    </row>
    <row r="424" spans="1:3" ht="15.75" x14ac:dyDescent="0.25">
      <c r="A424" s="33">
        <v>45239</v>
      </c>
      <c r="B424" s="34" t="s">
        <v>3</v>
      </c>
      <c r="C424" s="49">
        <v>54</v>
      </c>
    </row>
    <row r="425" spans="1:3" ht="15.75" x14ac:dyDescent="0.25">
      <c r="A425" s="33">
        <v>45239</v>
      </c>
      <c r="B425" s="34" t="s">
        <v>6</v>
      </c>
      <c r="C425" s="49">
        <v>580</v>
      </c>
    </row>
    <row r="426" spans="1:3" ht="15.75" x14ac:dyDescent="0.25">
      <c r="A426" s="33">
        <v>45239</v>
      </c>
      <c r="B426" s="34" t="s">
        <v>7</v>
      </c>
      <c r="C426" s="49">
        <v>34</v>
      </c>
    </row>
    <row r="427" spans="1:3" ht="15.75" x14ac:dyDescent="0.25">
      <c r="A427" s="33">
        <v>45240</v>
      </c>
      <c r="B427" s="48" t="s">
        <v>4</v>
      </c>
      <c r="C427" s="49">
        <v>155.30000000000001</v>
      </c>
    </row>
    <row r="428" spans="1:3" ht="15.75" x14ac:dyDescent="0.25">
      <c r="A428" s="33">
        <v>45240</v>
      </c>
      <c r="B428" s="48" t="s">
        <v>7</v>
      </c>
      <c r="C428" s="49">
        <v>1500</v>
      </c>
    </row>
    <row r="429" spans="1:3" ht="15.75" x14ac:dyDescent="0.25">
      <c r="A429" s="33">
        <v>45242</v>
      </c>
      <c r="B429" s="48" t="s">
        <v>1</v>
      </c>
      <c r="C429" s="49">
        <v>451</v>
      </c>
    </row>
    <row r="430" spans="1:3" ht="15.75" x14ac:dyDescent="0.25">
      <c r="A430" s="33">
        <v>45242</v>
      </c>
      <c r="B430" s="48" t="s">
        <v>9</v>
      </c>
      <c r="C430" s="49">
        <v>45</v>
      </c>
    </row>
    <row r="431" spans="1:3" ht="15.75" x14ac:dyDescent="0.25">
      <c r="A431" s="33">
        <v>45242</v>
      </c>
      <c r="B431" s="48" t="s">
        <v>1</v>
      </c>
      <c r="C431" s="49">
        <v>45</v>
      </c>
    </row>
    <row r="432" spans="1:3" ht="15.75" x14ac:dyDescent="0.25">
      <c r="A432" s="33">
        <v>45242</v>
      </c>
      <c r="B432" s="48" t="s">
        <v>1</v>
      </c>
      <c r="C432" s="49">
        <v>34</v>
      </c>
    </row>
    <row r="433" spans="1:3" ht="15.75" x14ac:dyDescent="0.25">
      <c r="A433" s="33">
        <v>45262</v>
      </c>
      <c r="B433" s="48" t="s">
        <v>3</v>
      </c>
      <c r="C433" s="49">
        <v>145</v>
      </c>
    </row>
    <row r="434" spans="1:3" ht="15.75" x14ac:dyDescent="0.25">
      <c r="A434" s="33">
        <v>45292</v>
      </c>
      <c r="B434" s="48" t="s">
        <v>5</v>
      </c>
      <c r="C434" s="49">
        <v>450</v>
      </c>
    </row>
    <row r="435" spans="1:3" ht="15.75" x14ac:dyDescent="0.25">
      <c r="A435" s="33">
        <v>45293</v>
      </c>
      <c r="B435" s="48" t="s">
        <v>6</v>
      </c>
      <c r="C435" s="49">
        <v>2100</v>
      </c>
    </row>
    <row r="436" spans="1:3" ht="15.75" x14ac:dyDescent="0.25">
      <c r="A436" s="33">
        <v>45293</v>
      </c>
      <c r="B436" s="48" t="s">
        <v>2</v>
      </c>
      <c r="C436" s="49">
        <v>145</v>
      </c>
    </row>
    <row r="437" spans="1:3" ht="15.75" x14ac:dyDescent="0.25">
      <c r="A437" s="33">
        <v>45293</v>
      </c>
      <c r="B437" s="48" t="s">
        <v>6</v>
      </c>
      <c r="C437" s="49">
        <v>145</v>
      </c>
    </row>
    <row r="438" spans="1:3" ht="15.75" x14ac:dyDescent="0.25">
      <c r="A438" s="33">
        <v>45295</v>
      </c>
      <c r="B438" s="48" t="s">
        <v>0</v>
      </c>
      <c r="C438" s="49">
        <v>123</v>
      </c>
    </row>
  </sheetData>
  <mergeCells count="1">
    <mergeCell ref="A1:C1"/>
  </mergeCells>
  <phoneticPr fontId="1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E7F80-60CE-4332-9AAE-4A508AC5B502}">
  <sheetPr codeName="Arkusz3"/>
  <dimension ref="A1:C67"/>
  <sheetViews>
    <sheetView workbookViewId="0">
      <selection activeCell="E28" sqref="E28"/>
    </sheetView>
  </sheetViews>
  <sheetFormatPr defaultRowHeight="15" x14ac:dyDescent="0.25"/>
  <cols>
    <col min="1" max="1" width="15.28515625" customWidth="1"/>
    <col min="2" max="2" width="24.28515625" customWidth="1"/>
    <col min="3" max="3" width="18.42578125" customWidth="1"/>
  </cols>
  <sheetData>
    <row r="1" spans="1:3" ht="18.75" x14ac:dyDescent="0.3">
      <c r="A1" s="111" t="s">
        <v>59</v>
      </c>
      <c r="B1" s="111"/>
      <c r="C1" s="111"/>
    </row>
    <row r="2" spans="1:3" ht="18.75" x14ac:dyDescent="0.3">
      <c r="A2" s="69" t="s">
        <v>34</v>
      </c>
      <c r="B2" s="69" t="s">
        <v>35</v>
      </c>
      <c r="C2" s="69" t="s">
        <v>29</v>
      </c>
    </row>
    <row r="3" spans="1:3" ht="15.75" x14ac:dyDescent="0.25">
      <c r="A3" s="33">
        <v>43845</v>
      </c>
      <c r="B3" s="48" t="s">
        <v>60</v>
      </c>
      <c r="C3" s="70">
        <v>5000</v>
      </c>
    </row>
    <row r="4" spans="1:3" ht="15.75" x14ac:dyDescent="0.25">
      <c r="A4" s="33">
        <v>43889</v>
      </c>
      <c r="B4" s="48" t="s">
        <v>60</v>
      </c>
      <c r="C4" s="70">
        <v>5200</v>
      </c>
    </row>
    <row r="5" spans="1:3" ht="15.75" x14ac:dyDescent="0.25">
      <c r="A5" s="33">
        <v>43912</v>
      </c>
      <c r="B5" s="48" t="s">
        <v>60</v>
      </c>
      <c r="C5" s="70">
        <v>1200</v>
      </c>
    </row>
    <row r="6" spans="1:3" ht="15.75" x14ac:dyDescent="0.25">
      <c r="A6" s="33">
        <v>43915</v>
      </c>
      <c r="B6" s="48" t="s">
        <v>60</v>
      </c>
      <c r="C6" s="70">
        <v>5300</v>
      </c>
    </row>
    <row r="7" spans="1:3" ht="15.75" x14ac:dyDescent="0.25">
      <c r="A7" s="33">
        <v>43931</v>
      </c>
      <c r="B7" s="48" t="s">
        <v>60</v>
      </c>
      <c r="C7" s="70">
        <v>1350</v>
      </c>
    </row>
    <row r="8" spans="1:3" ht="15.75" x14ac:dyDescent="0.25">
      <c r="A8" s="33">
        <v>43959</v>
      </c>
      <c r="B8" s="48" t="s">
        <v>60</v>
      </c>
      <c r="C8" s="70">
        <v>1400</v>
      </c>
    </row>
    <row r="9" spans="1:3" ht="15.75" x14ac:dyDescent="0.25">
      <c r="A9" s="33">
        <v>43961</v>
      </c>
      <c r="B9" s="48" t="s">
        <v>61</v>
      </c>
      <c r="C9" s="70">
        <v>300</v>
      </c>
    </row>
    <row r="10" spans="1:3" ht="15.75" x14ac:dyDescent="0.25">
      <c r="A10" s="33">
        <v>44000</v>
      </c>
      <c r="B10" s="48" t="s">
        <v>61</v>
      </c>
      <c r="C10" s="70">
        <v>350</v>
      </c>
    </row>
    <row r="11" spans="1:3" ht="15.75" x14ac:dyDescent="0.25">
      <c r="A11" s="33">
        <v>44027</v>
      </c>
      <c r="B11" s="48" t="s">
        <v>61</v>
      </c>
      <c r="C11" s="70">
        <v>370</v>
      </c>
    </row>
    <row r="12" spans="1:3" ht="15.75" x14ac:dyDescent="0.25">
      <c r="A12" s="33">
        <v>44030</v>
      </c>
      <c r="B12" s="48" t="s">
        <v>62</v>
      </c>
      <c r="C12" s="70">
        <v>50</v>
      </c>
    </row>
    <row r="13" spans="1:3" ht="15.75" x14ac:dyDescent="0.25">
      <c r="A13" s="33">
        <v>44068</v>
      </c>
      <c r="B13" s="48" t="s">
        <v>62</v>
      </c>
      <c r="C13" s="70">
        <v>75</v>
      </c>
    </row>
    <row r="14" spans="1:3" ht="15.75" x14ac:dyDescent="0.25">
      <c r="A14" s="33">
        <v>44079</v>
      </c>
      <c r="B14" s="48" t="s">
        <v>63</v>
      </c>
      <c r="C14" s="70">
        <v>800</v>
      </c>
    </row>
    <row r="15" spans="1:3" ht="15.75" x14ac:dyDescent="0.25">
      <c r="A15" s="33">
        <v>44102</v>
      </c>
      <c r="B15" s="48" t="s">
        <v>62</v>
      </c>
      <c r="C15" s="70">
        <v>80</v>
      </c>
    </row>
    <row r="16" spans="1:3" ht="15.75" x14ac:dyDescent="0.25">
      <c r="A16" s="33">
        <v>44111</v>
      </c>
      <c r="B16" s="48" t="s">
        <v>63</v>
      </c>
      <c r="C16" s="70">
        <v>900</v>
      </c>
    </row>
    <row r="17" spans="1:3" ht="15.75" x14ac:dyDescent="0.25">
      <c r="A17" s="33">
        <v>44145</v>
      </c>
      <c r="B17" s="48" t="s">
        <v>63</v>
      </c>
      <c r="C17" s="70">
        <v>950</v>
      </c>
    </row>
    <row r="18" spans="1:3" ht="15.75" x14ac:dyDescent="0.25">
      <c r="A18" s="33">
        <v>44218</v>
      </c>
      <c r="B18" s="48" t="s">
        <v>64</v>
      </c>
      <c r="C18" s="70">
        <v>120</v>
      </c>
    </row>
    <row r="19" spans="1:3" ht="15.75" x14ac:dyDescent="0.25">
      <c r="A19" s="33">
        <v>44228</v>
      </c>
      <c r="B19" s="48" t="s">
        <v>64</v>
      </c>
      <c r="C19" s="70">
        <v>140</v>
      </c>
    </row>
    <row r="20" spans="1:3" ht="15.75" x14ac:dyDescent="0.25">
      <c r="A20" s="33">
        <v>44241</v>
      </c>
      <c r="B20" s="48" t="s">
        <v>64</v>
      </c>
      <c r="C20" s="70">
        <v>100</v>
      </c>
    </row>
    <row r="21" spans="1:3" ht="15.75" x14ac:dyDescent="0.25">
      <c r="A21" s="33">
        <v>44270</v>
      </c>
      <c r="B21" s="48" t="s">
        <v>65</v>
      </c>
      <c r="C21" s="70">
        <v>2200</v>
      </c>
    </row>
    <row r="22" spans="1:3" ht="15.75" x14ac:dyDescent="0.25">
      <c r="A22" s="33">
        <v>44296</v>
      </c>
      <c r="B22" s="48" t="s">
        <v>65</v>
      </c>
      <c r="C22" s="70">
        <v>2400</v>
      </c>
    </row>
    <row r="23" spans="1:3" ht="15.75" x14ac:dyDescent="0.25">
      <c r="A23" s="33">
        <v>44316</v>
      </c>
      <c r="B23" s="48" t="s">
        <v>65</v>
      </c>
      <c r="C23" s="70">
        <v>2000</v>
      </c>
    </row>
    <row r="24" spans="1:3" ht="15.75" x14ac:dyDescent="0.25">
      <c r="A24" s="33">
        <v>44359</v>
      </c>
      <c r="B24" s="48" t="s">
        <v>60</v>
      </c>
      <c r="C24" s="70">
        <v>5500</v>
      </c>
    </row>
    <row r="25" spans="1:3" ht="15.75" x14ac:dyDescent="0.25">
      <c r="A25" s="33">
        <v>44379</v>
      </c>
      <c r="B25" s="48" t="s">
        <v>60</v>
      </c>
      <c r="C25" s="70">
        <v>5800</v>
      </c>
    </row>
    <row r="26" spans="1:3" ht="15.75" x14ac:dyDescent="0.25">
      <c r="A26" s="33">
        <v>44413</v>
      </c>
      <c r="B26" s="48" t="s">
        <v>60</v>
      </c>
      <c r="C26" s="70">
        <v>6000</v>
      </c>
    </row>
    <row r="27" spans="1:3" ht="15.75" x14ac:dyDescent="0.25">
      <c r="A27" s="33">
        <v>44451</v>
      </c>
      <c r="B27" s="48" t="s">
        <v>60</v>
      </c>
      <c r="C27" s="70">
        <v>1600</v>
      </c>
    </row>
    <row r="28" spans="1:3" ht="15.75" x14ac:dyDescent="0.25">
      <c r="A28" s="33">
        <v>44483</v>
      </c>
      <c r="B28" s="48" t="s">
        <v>60</v>
      </c>
      <c r="C28" s="70">
        <v>1700</v>
      </c>
    </row>
    <row r="29" spans="1:3" ht="15.75" x14ac:dyDescent="0.25">
      <c r="A29" s="33">
        <v>44520</v>
      </c>
      <c r="B29" s="48" t="s">
        <v>61</v>
      </c>
      <c r="C29" s="70">
        <v>450</v>
      </c>
    </row>
    <row r="30" spans="1:3" ht="15.75" x14ac:dyDescent="0.25">
      <c r="A30" s="33">
        <v>44564</v>
      </c>
      <c r="B30" s="48" t="s">
        <v>60</v>
      </c>
      <c r="C30" s="70">
        <v>1500</v>
      </c>
    </row>
    <row r="31" spans="1:3" ht="15.75" x14ac:dyDescent="0.25">
      <c r="A31" s="33">
        <v>44581</v>
      </c>
      <c r="B31" s="48" t="s">
        <v>61</v>
      </c>
      <c r="C31" s="70">
        <v>480</v>
      </c>
    </row>
    <row r="32" spans="1:3" ht="15.75" x14ac:dyDescent="0.25">
      <c r="A32" s="33">
        <v>44597</v>
      </c>
      <c r="B32" s="48" t="s">
        <v>62</v>
      </c>
      <c r="C32" s="70">
        <v>60</v>
      </c>
    </row>
    <row r="33" spans="1:3" ht="15.75" x14ac:dyDescent="0.25">
      <c r="A33" s="33">
        <v>44623</v>
      </c>
      <c r="B33" s="48" t="s">
        <v>62</v>
      </c>
      <c r="C33" s="70">
        <v>65</v>
      </c>
    </row>
    <row r="34" spans="1:3" ht="15.75" x14ac:dyDescent="0.25">
      <c r="A34" s="33">
        <v>44640</v>
      </c>
      <c r="B34" s="48" t="s">
        <v>61</v>
      </c>
      <c r="C34" s="70">
        <v>400</v>
      </c>
    </row>
    <row r="35" spans="1:3" ht="15.75" x14ac:dyDescent="0.25">
      <c r="A35" s="33">
        <v>44665</v>
      </c>
      <c r="B35" s="48" t="s">
        <v>63</v>
      </c>
      <c r="C35" s="70">
        <v>1100</v>
      </c>
    </row>
    <row r="36" spans="1:3" ht="15.75" x14ac:dyDescent="0.25">
      <c r="A36" s="33">
        <v>44696</v>
      </c>
      <c r="B36" s="48" t="s">
        <v>62</v>
      </c>
      <c r="C36" s="70">
        <v>70</v>
      </c>
    </row>
    <row r="37" spans="1:3" ht="15.75" x14ac:dyDescent="0.25">
      <c r="A37" s="33">
        <v>44703</v>
      </c>
      <c r="B37" s="48" t="s">
        <v>63</v>
      </c>
      <c r="C37" s="70">
        <v>1150</v>
      </c>
    </row>
    <row r="38" spans="1:3" ht="15.75" x14ac:dyDescent="0.25">
      <c r="A38" s="33">
        <v>44742</v>
      </c>
      <c r="B38" s="48" t="s">
        <v>64</v>
      </c>
      <c r="C38" s="70">
        <v>130</v>
      </c>
    </row>
    <row r="39" spans="1:3" ht="15.75" x14ac:dyDescent="0.25">
      <c r="A39" s="33">
        <v>44772</v>
      </c>
      <c r="B39" s="48" t="s">
        <v>64</v>
      </c>
      <c r="C39" s="70">
        <v>140</v>
      </c>
    </row>
    <row r="40" spans="1:3" ht="15.75" x14ac:dyDescent="0.25">
      <c r="A40" s="33">
        <v>44775</v>
      </c>
      <c r="B40" s="48" t="s">
        <v>63</v>
      </c>
      <c r="C40" s="70">
        <v>1000</v>
      </c>
    </row>
    <row r="41" spans="1:3" ht="15.75" x14ac:dyDescent="0.25">
      <c r="A41" s="33">
        <v>44819</v>
      </c>
      <c r="B41" s="48" t="s">
        <v>65</v>
      </c>
      <c r="C41" s="70">
        <v>2700</v>
      </c>
    </row>
    <row r="42" spans="1:3" ht="15.75" x14ac:dyDescent="0.25">
      <c r="A42" s="33">
        <v>44843</v>
      </c>
      <c r="B42" s="48" t="s">
        <v>65</v>
      </c>
      <c r="C42" s="70">
        <v>2600</v>
      </c>
    </row>
    <row r="43" spans="1:3" ht="15.75" x14ac:dyDescent="0.25">
      <c r="A43" s="33">
        <v>44844</v>
      </c>
      <c r="B43" s="48" t="s">
        <v>64</v>
      </c>
      <c r="C43" s="70">
        <v>120</v>
      </c>
    </row>
    <row r="44" spans="1:3" ht="15.75" x14ac:dyDescent="0.25">
      <c r="A44" s="33">
        <v>44920</v>
      </c>
      <c r="B44" s="48" t="s">
        <v>65</v>
      </c>
      <c r="C44" s="70">
        <v>2500</v>
      </c>
    </row>
    <row r="45" spans="1:3" ht="15.75" x14ac:dyDescent="0.25">
      <c r="A45" s="33">
        <v>44930</v>
      </c>
      <c r="B45" s="48" t="s">
        <v>64</v>
      </c>
      <c r="C45" s="70">
        <v>350</v>
      </c>
    </row>
    <row r="46" spans="1:3" ht="15.75" x14ac:dyDescent="0.25">
      <c r="A46" s="33">
        <v>44934</v>
      </c>
      <c r="B46" s="48" t="s">
        <v>60</v>
      </c>
      <c r="C46" s="70">
        <v>6200</v>
      </c>
    </row>
    <row r="47" spans="1:3" ht="15.75" x14ac:dyDescent="0.25">
      <c r="A47" s="33">
        <v>44965</v>
      </c>
      <c r="B47" s="48" t="s">
        <v>60</v>
      </c>
      <c r="C47" s="70">
        <v>6000</v>
      </c>
    </row>
    <row r="48" spans="1:3" ht="15.75" x14ac:dyDescent="0.25">
      <c r="A48" s="33">
        <v>44971</v>
      </c>
      <c r="B48" s="48" t="s">
        <v>60</v>
      </c>
      <c r="C48" s="70">
        <v>6400</v>
      </c>
    </row>
    <row r="49" spans="1:3" ht="15.75" x14ac:dyDescent="0.25">
      <c r="A49" s="33">
        <v>45005</v>
      </c>
      <c r="B49" s="48" t="s">
        <v>60</v>
      </c>
      <c r="C49" s="70">
        <v>2000</v>
      </c>
    </row>
    <row r="50" spans="1:3" ht="15.75" x14ac:dyDescent="0.25">
      <c r="A50" s="33">
        <v>45033</v>
      </c>
      <c r="B50" s="48" t="s">
        <v>60</v>
      </c>
      <c r="C50" s="70">
        <v>1800</v>
      </c>
    </row>
    <row r="51" spans="1:3" ht="15.75" x14ac:dyDescent="0.25">
      <c r="A51" s="33">
        <v>45041</v>
      </c>
      <c r="B51" s="48" t="s">
        <v>60</v>
      </c>
      <c r="C51" s="70">
        <v>2200</v>
      </c>
    </row>
    <row r="52" spans="1:3" ht="15.75" x14ac:dyDescent="0.25">
      <c r="A52" s="33">
        <v>45058</v>
      </c>
      <c r="B52" s="48" t="s">
        <v>61</v>
      </c>
      <c r="C52" s="70">
        <v>550</v>
      </c>
    </row>
    <row r="53" spans="1:3" ht="15.75" x14ac:dyDescent="0.25">
      <c r="A53" s="33">
        <v>45082</v>
      </c>
      <c r="B53" s="48" t="s">
        <v>61</v>
      </c>
      <c r="C53" s="70">
        <v>500</v>
      </c>
    </row>
    <row r="54" spans="1:3" ht="15.75" x14ac:dyDescent="0.25">
      <c r="A54" s="33">
        <v>45095</v>
      </c>
      <c r="B54" s="48" t="s">
        <v>61</v>
      </c>
      <c r="C54" s="70">
        <v>600</v>
      </c>
    </row>
    <row r="55" spans="1:3" ht="15.75" x14ac:dyDescent="0.25">
      <c r="A55" s="33">
        <v>45139</v>
      </c>
      <c r="B55" s="48" t="s">
        <v>62</v>
      </c>
      <c r="C55" s="70">
        <v>90</v>
      </c>
    </row>
    <row r="56" spans="1:3" ht="15.75" x14ac:dyDescent="0.25">
      <c r="A56" s="33">
        <v>45174</v>
      </c>
      <c r="B56" s="48" t="s">
        <v>62</v>
      </c>
      <c r="C56" s="70">
        <v>100</v>
      </c>
    </row>
    <row r="57" spans="1:3" ht="15.75" x14ac:dyDescent="0.25">
      <c r="A57" s="33">
        <v>45191</v>
      </c>
      <c r="B57" s="48" t="s">
        <v>62</v>
      </c>
      <c r="C57" s="70">
        <v>80</v>
      </c>
    </row>
    <row r="58" spans="1:3" ht="15.75" x14ac:dyDescent="0.25">
      <c r="A58" s="33">
        <v>45217</v>
      </c>
      <c r="B58" s="48" t="s">
        <v>63</v>
      </c>
      <c r="C58" s="70">
        <v>1300</v>
      </c>
    </row>
    <row r="59" spans="1:3" ht="15.75" x14ac:dyDescent="0.25">
      <c r="A59" s="33">
        <v>45234</v>
      </c>
      <c r="B59" s="48" t="s">
        <v>60</v>
      </c>
      <c r="C59" s="70">
        <v>111</v>
      </c>
    </row>
    <row r="60" spans="1:3" ht="15.75" x14ac:dyDescent="0.25">
      <c r="A60" s="33">
        <v>45234</v>
      </c>
      <c r="B60" s="48" t="s">
        <v>60</v>
      </c>
      <c r="C60" s="70">
        <v>111</v>
      </c>
    </row>
    <row r="61" spans="1:3" ht="15.75" x14ac:dyDescent="0.25">
      <c r="A61" s="33">
        <v>45241</v>
      </c>
      <c r="B61" s="48" t="s">
        <v>63</v>
      </c>
      <c r="C61" s="70">
        <v>1200</v>
      </c>
    </row>
    <row r="62" spans="1:3" ht="15.75" x14ac:dyDescent="0.25">
      <c r="A62" s="33">
        <v>45242</v>
      </c>
      <c r="B62" s="48" t="s">
        <v>63</v>
      </c>
      <c r="C62" s="70">
        <v>1400</v>
      </c>
    </row>
    <row r="63" spans="1:3" ht="15.75" x14ac:dyDescent="0.25">
      <c r="A63" s="33">
        <v>45292</v>
      </c>
      <c r="B63" s="48" t="s">
        <v>64</v>
      </c>
      <c r="C63" s="70">
        <v>150</v>
      </c>
    </row>
    <row r="64" spans="1:3" ht="15.75" x14ac:dyDescent="0.25">
      <c r="A64" s="33">
        <v>45292</v>
      </c>
      <c r="B64" s="48" t="s">
        <v>65</v>
      </c>
      <c r="C64" s="70">
        <v>3500</v>
      </c>
    </row>
    <row r="65" spans="1:3" ht="15.75" x14ac:dyDescent="0.25">
      <c r="A65" s="33">
        <v>45295</v>
      </c>
      <c r="B65" s="48" t="s">
        <v>63</v>
      </c>
      <c r="C65" s="70">
        <v>100</v>
      </c>
    </row>
    <row r="66" spans="1:3" ht="15.75" x14ac:dyDescent="0.25">
      <c r="A66" s="33">
        <v>45295</v>
      </c>
      <c r="B66" s="48" t="s">
        <v>61</v>
      </c>
      <c r="C66" s="70">
        <v>45</v>
      </c>
    </row>
    <row r="67" spans="1:3" ht="15.75" x14ac:dyDescent="0.25">
      <c r="A67" s="33">
        <v>45296</v>
      </c>
      <c r="B67" s="48" t="s">
        <v>64</v>
      </c>
      <c r="C67" s="70">
        <v>200</v>
      </c>
    </row>
  </sheetData>
  <mergeCells count="1">
    <mergeCell ref="A1:C1"/>
  </mergeCells>
  <phoneticPr fontId="14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60B366B-BE56-4D7E-84B3-B9D361C1573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3</vt:i4>
      </vt:variant>
      <vt:variant>
        <vt:lpstr>Nazwane zakresy</vt:lpstr>
      </vt:variant>
      <vt:variant>
        <vt:i4>14</vt:i4>
      </vt:variant>
    </vt:vector>
  </HeadingPairs>
  <TitlesOfParts>
    <vt:vector size="17" baseType="lpstr">
      <vt:lpstr>Budżet domowy</vt:lpstr>
      <vt:lpstr>Wydatki</vt:lpstr>
      <vt:lpstr>Przychód</vt:lpstr>
      <vt:lpstr>DataPrzychodów</vt:lpstr>
      <vt:lpstr>DataWydatków</vt:lpstr>
      <vt:lpstr>HistoriaPrzychodów</vt:lpstr>
      <vt:lpstr>HistoriaWydatkow</vt:lpstr>
      <vt:lpstr>KategoriaPrzychodów</vt:lpstr>
      <vt:lpstr>KategoriaWydatków</vt:lpstr>
      <vt:lpstr>KategoriiPrzychodów</vt:lpstr>
      <vt:lpstr>KategoriiWydatków</vt:lpstr>
      <vt:lpstr>KwotaPrzychodów</vt:lpstr>
      <vt:lpstr>KwotaWydatków</vt:lpstr>
      <vt:lpstr>Miesiące</vt:lpstr>
      <vt:lpstr>Różnica</vt:lpstr>
      <vt:lpstr>WybranyMiesiac</vt:lpstr>
      <vt:lpstr>WybranyRok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Maryia Shyliankova</dc:creator>
  <cp:lastModifiedBy>Maryia Shyliankova2</cp:lastModifiedBy>
  <dcterms:created xsi:type="dcterms:W3CDTF">2015-06-05T18:17:20Z</dcterms:created>
  <dcterms:modified xsi:type="dcterms:W3CDTF">2024-01-09T17:10:40Z</dcterms:modified>
</cp:coreProperties>
</file>